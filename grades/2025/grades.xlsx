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khiem_nguyen_glasgow_ac_uk/Documents/ENG3092 Year 2025-2026/"/>
    </mc:Choice>
  </mc:AlternateContent>
  <xr:revisionPtr revIDLastSave="1219" documentId="11_58F4D5CAC165F3924AD51E6563BA867C67FBD436" xr6:coauthVersionLast="47" xr6:coauthVersionMax="47" xr10:uidLastSave="{E675E09D-68BC-4574-B055-58AAE1F36D0A}"/>
  <bookViews>
    <workbookView xWindow="-6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K2" i="1"/>
  <c r="M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tc={66E6784A-FF4B-4FDA-A12B-DEB04B31AA87}</author>
  </authors>
  <commentList>
    <comment ref="G120" authorId="0" shapeId="0" xr:uid="{66E6784A-FF4B-4FDA-A12B-DEB04B31AA8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student told me that he got 2 from me. Please double check this</t>
      </text>
    </comment>
  </commentList>
</comments>
</file>

<file path=xl/sharedStrings.xml><?xml version="1.0" encoding="utf-8"?>
<sst xmlns="http://schemas.openxmlformats.org/spreadsheetml/2006/main" count="1063" uniqueCount="676">
  <si>
    <t>First name</t>
  </si>
  <si>
    <t>Last name</t>
  </si>
  <si>
    <t>Username</t>
  </si>
  <si>
    <t>ID number</t>
  </si>
  <si>
    <t>Email address</t>
  </si>
  <si>
    <t>Groups</t>
  </si>
  <si>
    <t>Assignment 1</t>
  </si>
  <si>
    <t>Marker 1</t>
  </si>
  <si>
    <t>Assignment 2</t>
  </si>
  <si>
    <t>Marker 2</t>
  </si>
  <si>
    <t>Assignment 3</t>
  </si>
  <si>
    <t>Marker 3</t>
  </si>
  <si>
    <t>Total</t>
  </si>
  <si>
    <t>Demonstrator Choice</t>
  </si>
  <si>
    <t>Extra</t>
  </si>
  <si>
    <t>Mariam</t>
  </si>
  <si>
    <t>Abdulrazaq</t>
  </si>
  <si>
    <t>3025926a</t>
  </si>
  <si>
    <t>3025926</t>
  </si>
  <si>
    <t>3025926A@student.gla.ac.uk</t>
  </si>
  <si>
    <t>Niamh</t>
  </si>
  <si>
    <t>Khiem</t>
  </si>
  <si>
    <t>Extra points: attending lectures</t>
  </si>
  <si>
    <t>Angus</t>
  </si>
  <si>
    <t>Adam</t>
  </si>
  <si>
    <t>2887766a</t>
  </si>
  <si>
    <t>2887766</t>
  </si>
  <si>
    <t>2887766A@student.gla.ac.uk</t>
  </si>
  <si>
    <t>Fin</t>
  </si>
  <si>
    <t>Doris</t>
  </si>
  <si>
    <t>Haroon</t>
  </si>
  <si>
    <t>Al-saleh</t>
  </si>
  <si>
    <t>3001288a</t>
  </si>
  <si>
    <t>3001288</t>
  </si>
  <si>
    <t>3001288A@student.gla.ac.uk</t>
  </si>
  <si>
    <t>Megan</t>
  </si>
  <si>
    <t>Allen</t>
  </si>
  <si>
    <t>2844769a</t>
  </si>
  <si>
    <t>2844769</t>
  </si>
  <si>
    <t>2844769A@student.gla.ac.uk</t>
  </si>
  <si>
    <t>Huy</t>
  </si>
  <si>
    <t>Hour</t>
  </si>
  <si>
    <t>Alqattan</t>
  </si>
  <si>
    <t>2721554a</t>
  </si>
  <si>
    <t>2721554</t>
  </si>
  <si>
    <t>2721554A@student.gla.ac.uk</t>
  </si>
  <si>
    <t>Abby</t>
  </si>
  <si>
    <t>Ash</t>
  </si>
  <si>
    <t>2881147a</t>
  </si>
  <si>
    <t>2881147</t>
  </si>
  <si>
    <t>2881147A@student.gla.ac.uk</t>
  </si>
  <si>
    <t>Dougal</t>
  </si>
  <si>
    <t>Ashcroft</t>
  </si>
  <si>
    <t>2778726a</t>
  </si>
  <si>
    <t>2778726A@student.gla.ac.uk</t>
  </si>
  <si>
    <t>Yousef</t>
  </si>
  <si>
    <t>Ban</t>
  </si>
  <si>
    <t>2810069b</t>
  </si>
  <si>
    <t>2810069</t>
  </si>
  <si>
    <t>2810069B@student.gla.ac.uk</t>
  </si>
  <si>
    <t>Please mark this student normally!!!</t>
  </si>
  <si>
    <t>Ammar</t>
  </si>
  <si>
    <t>Bin Aminudin</t>
  </si>
  <si>
    <t>2911140b</t>
  </si>
  <si>
    <t>2911140</t>
  </si>
  <si>
    <t>2911140B@student.gla.ac.uk</t>
  </si>
  <si>
    <t>Brendan</t>
  </si>
  <si>
    <t>Blaney</t>
  </si>
  <si>
    <t>2734696b</t>
  </si>
  <si>
    <t>2734696</t>
  </si>
  <si>
    <t>2734696B@student.gla.ac.uk</t>
  </si>
  <si>
    <t>Finn</t>
  </si>
  <si>
    <t>Bremner</t>
  </si>
  <si>
    <t>2881709b</t>
  </si>
  <si>
    <t>2881709</t>
  </si>
  <si>
    <t>2881709B@student.gla.ac.uk</t>
  </si>
  <si>
    <t>Matthew</t>
  </si>
  <si>
    <t>Buick</t>
  </si>
  <si>
    <t>2674149b</t>
  </si>
  <si>
    <t>2674149</t>
  </si>
  <si>
    <t>2674149B@student.gla.ac.uk</t>
  </si>
  <si>
    <t>Conor</t>
  </si>
  <si>
    <t>Bygrave</t>
  </si>
  <si>
    <t>2896330b</t>
  </si>
  <si>
    <t>2896330</t>
  </si>
  <si>
    <t>2896330B@student.gla.ac.uk</t>
  </si>
  <si>
    <t>Aaron</t>
  </si>
  <si>
    <t>Campbell</t>
  </si>
  <si>
    <t>2818358c</t>
  </si>
  <si>
    <t>2818358</t>
  </si>
  <si>
    <t>2818358C@student.gla.ac.uk</t>
  </si>
  <si>
    <t>4 - Huy marked on Tue 18/11/2025</t>
  </si>
  <si>
    <t>I think I lost the grades of this student on Friday but this is the best I can remember.</t>
  </si>
  <si>
    <t>Lachlan</t>
  </si>
  <si>
    <t>Cargill</t>
  </si>
  <si>
    <t>2910258c</t>
  </si>
  <si>
    <t>2910258</t>
  </si>
  <si>
    <t>2910258C@student.gla.ac.uk</t>
  </si>
  <si>
    <t>Junzhang</t>
  </si>
  <si>
    <t>Chen</t>
  </si>
  <si>
    <t>2837181c</t>
  </si>
  <si>
    <t>2837181</t>
  </si>
  <si>
    <t>2837181C@student.gla.ac.uk</t>
  </si>
  <si>
    <t>Javan</t>
  </si>
  <si>
    <t>Chen Hong Javan Cheah</t>
  </si>
  <si>
    <t>3035277c</t>
  </si>
  <si>
    <t>3035277</t>
  </si>
  <si>
    <t>3035277C@student.gla.ac.uk</t>
  </si>
  <si>
    <t>Chung</t>
  </si>
  <si>
    <t>2577950c</t>
  </si>
  <si>
    <t>2577950C@student.gla.ac.uk</t>
  </si>
  <si>
    <t>Cameron</t>
  </si>
  <si>
    <t>Colquhoun</t>
  </si>
  <si>
    <t>2884850c</t>
  </si>
  <si>
    <t>2884850</t>
  </si>
  <si>
    <t>2884850C@student.gla.ac.uk</t>
  </si>
  <si>
    <t>Sandy</t>
  </si>
  <si>
    <t>Crann</t>
  </si>
  <si>
    <t>2896608c</t>
  </si>
  <si>
    <t>2896608</t>
  </si>
  <si>
    <t>2896608C@student.gla.ac.uk</t>
  </si>
  <si>
    <t>Maximilian</t>
  </si>
  <si>
    <t>Crosara Andraus Menossi Ramos</t>
  </si>
  <si>
    <t>2775729r</t>
  </si>
  <si>
    <t>2775729R@student.gla.ac.uk</t>
  </si>
  <si>
    <t>Saukhya</t>
  </si>
  <si>
    <t>Deshmukh</t>
  </si>
  <si>
    <t>2897532d</t>
  </si>
  <si>
    <t>2897532</t>
  </si>
  <si>
    <t>2897532D@student.gla.ac.uk</t>
  </si>
  <si>
    <t>Harry</t>
  </si>
  <si>
    <t>Dickson</t>
  </si>
  <si>
    <t>2887592d</t>
  </si>
  <si>
    <t>2887592</t>
  </si>
  <si>
    <t>2887592D@student.gla.ac.uk</t>
  </si>
  <si>
    <t>Teodor</t>
  </si>
  <si>
    <t>Djakov</t>
  </si>
  <si>
    <t>2801687d</t>
  </si>
  <si>
    <t>2801687D@student.gla.ac.uk</t>
  </si>
  <si>
    <t>Demonstrator: Choice #3</t>
  </si>
  <si>
    <t>Struan</t>
  </si>
  <si>
    <t>Donald</t>
  </si>
  <si>
    <t>2774543d</t>
  </si>
  <si>
    <t>2774543</t>
  </si>
  <si>
    <t>2774543D@student.gla.ac.uk</t>
  </si>
  <si>
    <t>Siobhan</t>
  </si>
  <si>
    <t>Dornan</t>
  </si>
  <si>
    <t>2767936d</t>
  </si>
  <si>
    <t>2767936</t>
  </si>
  <si>
    <t>2767936D@student.gla.ac.uk</t>
  </si>
  <si>
    <t>Eastwood</t>
  </si>
  <si>
    <t>2801271e</t>
  </si>
  <si>
    <t>2801271</t>
  </si>
  <si>
    <t>2801271E@student.gla.ac.uk</t>
  </si>
  <si>
    <t>Ruaridh</t>
  </si>
  <si>
    <t>Ellen</t>
  </si>
  <si>
    <t>2884052e</t>
  </si>
  <si>
    <t>2884052</t>
  </si>
  <si>
    <t>2884052E@student.gla.ac.uk</t>
  </si>
  <si>
    <t>Huy + Doris</t>
  </si>
  <si>
    <t>Joe</t>
  </si>
  <si>
    <t>Elvines</t>
  </si>
  <si>
    <t>2890072e</t>
  </si>
  <si>
    <t>2890072</t>
  </si>
  <si>
    <t>2890072E@student.gla.ac.uk</t>
  </si>
  <si>
    <t>Faherty</t>
  </si>
  <si>
    <t>2597473f</t>
  </si>
  <si>
    <t>2597473F@student.gla.ac.uk</t>
  </si>
  <si>
    <t>Aidan</t>
  </si>
  <si>
    <t>Fergus-Allen</t>
  </si>
  <si>
    <t>2878466f</t>
  </si>
  <si>
    <t>2878466</t>
  </si>
  <si>
    <t>2878466F@student.gla.ac.uk</t>
  </si>
  <si>
    <t>Kieran</t>
  </si>
  <si>
    <t>Ford</t>
  </si>
  <si>
    <t>2894708f</t>
  </si>
  <si>
    <t>2894708</t>
  </si>
  <si>
    <t>2894708F@student.gla.ac.uk</t>
  </si>
  <si>
    <t>Oisin</t>
  </si>
  <si>
    <t>Garcia Boylan</t>
  </si>
  <si>
    <t>2892162g</t>
  </si>
  <si>
    <t>2892162G@student.gla.ac.uk</t>
  </si>
  <si>
    <t>Benjamin</t>
  </si>
  <si>
    <t>Gates</t>
  </si>
  <si>
    <t>2774242g</t>
  </si>
  <si>
    <t>2774242</t>
  </si>
  <si>
    <t>2774242G@student.gla.ac.uk</t>
  </si>
  <si>
    <t>Isabella</t>
  </si>
  <si>
    <t>Gore</t>
  </si>
  <si>
    <t>2759676g</t>
  </si>
  <si>
    <t>2759676</t>
  </si>
  <si>
    <t>2759676G@student.gla.ac.uk</t>
  </si>
  <si>
    <t>Ross</t>
  </si>
  <si>
    <t>Graham</t>
  </si>
  <si>
    <t>2797729g</t>
  </si>
  <si>
    <t>2797729</t>
  </si>
  <si>
    <t>2797729G@student.gla.ac.uk</t>
  </si>
  <si>
    <t>Greaves</t>
  </si>
  <si>
    <t>2867664g</t>
  </si>
  <si>
    <t>2867664</t>
  </si>
  <si>
    <t>2867664G@student.gla.ac.uk</t>
  </si>
  <si>
    <t>Stuart</t>
  </si>
  <si>
    <t>Grey</t>
  </si>
  <si>
    <t>sg120q</t>
  </si>
  <si>
    <t>Stuart.Grey@glasgow.ac.uk</t>
  </si>
  <si>
    <t>Chunyi</t>
  </si>
  <si>
    <t>Gu</t>
  </si>
  <si>
    <t>2773029g</t>
  </si>
  <si>
    <t>2773029</t>
  </si>
  <si>
    <t>2773029G@student.gla.ac.uk</t>
  </si>
  <si>
    <t>Ziru</t>
  </si>
  <si>
    <t>Guo</t>
  </si>
  <si>
    <t>2909545g</t>
  </si>
  <si>
    <t>2909545</t>
  </si>
  <si>
    <t>2909545G@student.gla.ac.uk</t>
  </si>
  <si>
    <t>Anish</t>
  </si>
  <si>
    <t>Halder</t>
  </si>
  <si>
    <t>2920390h</t>
  </si>
  <si>
    <t>2920390</t>
  </si>
  <si>
    <t>2920390H@student.gla.ac.uk</t>
  </si>
  <si>
    <t>Kerri</t>
  </si>
  <si>
    <t>Halpin</t>
  </si>
  <si>
    <t>2905040h</t>
  </si>
  <si>
    <t>2905040</t>
  </si>
  <si>
    <t>2905040H@student.gla.ac.uk</t>
  </si>
  <si>
    <t>Roan</t>
  </si>
  <si>
    <t>Henderson</t>
  </si>
  <si>
    <t>2882827h</t>
  </si>
  <si>
    <t>2882827</t>
  </si>
  <si>
    <t>2882827H@student.gla.ac.uk</t>
  </si>
  <si>
    <t>Isaac</t>
  </si>
  <si>
    <t>Hill</t>
  </si>
  <si>
    <t>2868659h</t>
  </si>
  <si>
    <t>2868659</t>
  </si>
  <si>
    <t>2868659H@student.gla.ac.uk</t>
  </si>
  <si>
    <t>Sophie</t>
  </si>
  <si>
    <t>2678137h</t>
  </si>
  <si>
    <t>2678137</t>
  </si>
  <si>
    <t>2678137H@student.gla.ac.uk</t>
  </si>
  <si>
    <t>Ruben</t>
  </si>
  <si>
    <t>Hillier</t>
  </si>
  <si>
    <t>2800161h</t>
  </si>
  <si>
    <t>2800161</t>
  </si>
  <si>
    <t>2800161H@student.gla.ac.uk</t>
  </si>
  <si>
    <t>Charles</t>
  </si>
  <si>
    <t>Hird</t>
  </si>
  <si>
    <t>2733640h</t>
  </si>
  <si>
    <t>2733640</t>
  </si>
  <si>
    <t>2733640H@student.gla.ac.uk</t>
  </si>
  <si>
    <t>Leo</t>
  </si>
  <si>
    <t>Hopper</t>
  </si>
  <si>
    <t>2857678h</t>
  </si>
  <si>
    <t>2857678H@student.gla.ac.uk</t>
  </si>
  <si>
    <t>Demonstrator: Choice #2</t>
  </si>
  <si>
    <t>Jamie</t>
  </si>
  <si>
    <t>Horsley</t>
  </si>
  <si>
    <t>2879432h</t>
  </si>
  <si>
    <t>2879432</t>
  </si>
  <si>
    <t>2879432H@student.gla.ac.uk</t>
  </si>
  <si>
    <t>Howie</t>
  </si>
  <si>
    <t>2874777h</t>
  </si>
  <si>
    <t>2874777</t>
  </si>
  <si>
    <t>2874777H@student.gla.ac.uk</t>
  </si>
  <si>
    <t>Phillip</t>
  </si>
  <si>
    <t>Huang</t>
  </si>
  <si>
    <t>2888820h</t>
  </si>
  <si>
    <t>2888820H@student.gla.ac.uk</t>
  </si>
  <si>
    <t>Lexie</t>
  </si>
  <si>
    <t>Irvine</t>
  </si>
  <si>
    <t>2777804i</t>
  </si>
  <si>
    <t>2777804</t>
  </si>
  <si>
    <t>2777804I@student.gla.ac.uk</t>
  </si>
  <si>
    <t>Nathan</t>
  </si>
  <si>
    <t>Johnston</t>
  </si>
  <si>
    <t>2897974j</t>
  </si>
  <si>
    <t>2897974</t>
  </si>
  <si>
    <t>2897974J@student.gla.ac.uk</t>
  </si>
  <si>
    <t>Sean</t>
  </si>
  <si>
    <t>Khokhar</t>
  </si>
  <si>
    <t>2744134k</t>
  </si>
  <si>
    <t>2744134</t>
  </si>
  <si>
    <t>2744134K@student.gla.ac.uk</t>
  </si>
  <si>
    <t>Ben</t>
  </si>
  <si>
    <t>Kinsman</t>
  </si>
  <si>
    <t>2671023k</t>
  </si>
  <si>
    <t>2671023</t>
  </si>
  <si>
    <t>2671023K@student.gla.ac.uk</t>
  </si>
  <si>
    <t>Finley</t>
  </si>
  <si>
    <t>Kronmueller</t>
  </si>
  <si>
    <t>3026419k</t>
  </si>
  <si>
    <t>3026419</t>
  </si>
  <si>
    <t>3026419K@student.gla.ac.uk</t>
  </si>
  <si>
    <t>Craig</t>
  </si>
  <si>
    <t>Lavelle</t>
  </si>
  <si>
    <t>2898197l</t>
  </si>
  <si>
    <t>2898197</t>
  </si>
  <si>
    <t>2898197L@student.gla.ac.uk</t>
  </si>
  <si>
    <t>Le</t>
  </si>
  <si>
    <t>3035565l</t>
  </si>
  <si>
    <t>3035565L@student.gla.ac.uk</t>
  </si>
  <si>
    <t>Alyssa</t>
  </si>
  <si>
    <t>Lew</t>
  </si>
  <si>
    <t>2911428l</t>
  </si>
  <si>
    <t>2911428</t>
  </si>
  <si>
    <t>2911428L@student.gla.ac.uk</t>
  </si>
  <si>
    <t>Haotian</t>
  </si>
  <si>
    <t>Li</t>
  </si>
  <si>
    <t>2604883l</t>
  </si>
  <si>
    <t>2604883</t>
  </si>
  <si>
    <t>2604883L@student.gla.ac.uk</t>
  </si>
  <si>
    <t>Jedi</t>
  </si>
  <si>
    <t>Lim</t>
  </si>
  <si>
    <t>2913911l</t>
  </si>
  <si>
    <t>2913911</t>
  </si>
  <si>
    <t>2913911L@student.gla.ac.uk</t>
  </si>
  <si>
    <t>Changyang</t>
  </si>
  <si>
    <t>Liu</t>
  </si>
  <si>
    <t>2908808l</t>
  </si>
  <si>
    <t>2908808</t>
  </si>
  <si>
    <t>2908808L@student.gla.ac.uk</t>
  </si>
  <si>
    <t>Shiyu</t>
  </si>
  <si>
    <t>2787174l</t>
  </si>
  <si>
    <t>2787174</t>
  </si>
  <si>
    <t>2787174L@student.gla.ac.uk</t>
  </si>
  <si>
    <t>Logan</t>
  </si>
  <si>
    <t>MacArthur</t>
  </si>
  <si>
    <t>2797930m</t>
  </si>
  <si>
    <t>2797930</t>
  </si>
  <si>
    <t>2797930M@student.gla.ac.uk</t>
  </si>
  <si>
    <t>Macintyre</t>
  </si>
  <si>
    <t>2885915m</t>
  </si>
  <si>
    <t>2885915</t>
  </si>
  <si>
    <t>2885915M@student.gla.ac.uk</t>
  </si>
  <si>
    <t>Heather</t>
  </si>
  <si>
    <t>Mackay</t>
  </si>
  <si>
    <t>2779624m</t>
  </si>
  <si>
    <t>2779624</t>
  </si>
  <si>
    <t>2779624M@student.gla.ac.uk</t>
  </si>
  <si>
    <t>Finlay</t>
  </si>
  <si>
    <t>2896446m</t>
  </si>
  <si>
    <t>2896446</t>
  </si>
  <si>
    <t>2896446M@student.gla.ac.uk</t>
  </si>
  <si>
    <t>Samuel</t>
  </si>
  <si>
    <t>Mackintosh</t>
  </si>
  <si>
    <t>2851641m</t>
  </si>
  <si>
    <t>2851641</t>
  </si>
  <si>
    <t>2851641M@student.gla.ac.uk</t>
  </si>
  <si>
    <t>Martin</t>
  </si>
  <si>
    <t>2719216m</t>
  </si>
  <si>
    <t>2719216</t>
  </si>
  <si>
    <t>2719216M@student.gla.ac.uk</t>
  </si>
  <si>
    <t>Lewis</t>
  </si>
  <si>
    <t>Mawer</t>
  </si>
  <si>
    <t>2770942m</t>
  </si>
  <si>
    <t>2770942</t>
  </si>
  <si>
    <t>2770942M@student.gla.ac.uk</t>
  </si>
  <si>
    <t>Nico</t>
  </si>
  <si>
    <t>Mazzolini</t>
  </si>
  <si>
    <t>2905097m</t>
  </si>
  <si>
    <t>2905097</t>
  </si>
  <si>
    <t>2905097M@student.gla.ac.uk</t>
  </si>
  <si>
    <t>Maria</t>
  </si>
  <si>
    <t>McCarron</t>
  </si>
  <si>
    <t>2795135m</t>
  </si>
  <si>
    <t>2795135</t>
  </si>
  <si>
    <t>2795135M@student.gla.ac.uk</t>
  </si>
  <si>
    <t>Joseph</t>
  </si>
  <si>
    <t>McCarthy</t>
  </si>
  <si>
    <t>2887727m</t>
  </si>
  <si>
    <t>2887727</t>
  </si>
  <si>
    <t>2887727M@student.gla.ac.uk</t>
  </si>
  <si>
    <t>Lucy</t>
  </si>
  <si>
    <t>McCaughey</t>
  </si>
  <si>
    <t>2778043m</t>
  </si>
  <si>
    <t>2778043</t>
  </si>
  <si>
    <t>2778043M@student.gla.ac.uk</t>
  </si>
  <si>
    <t>Natasha</t>
  </si>
  <si>
    <t>McDonald</t>
  </si>
  <si>
    <t>2913836m</t>
  </si>
  <si>
    <t>2913836</t>
  </si>
  <si>
    <t>2913836M@student.gla.ac.uk</t>
  </si>
  <si>
    <t>Connor</t>
  </si>
  <si>
    <t>McGee</t>
  </si>
  <si>
    <t>2877681m</t>
  </si>
  <si>
    <t>2877681</t>
  </si>
  <si>
    <t>2877681M@student.gla.ac.uk</t>
  </si>
  <si>
    <t>McGeehan</t>
  </si>
  <si>
    <t>2910190m</t>
  </si>
  <si>
    <t>2910190</t>
  </si>
  <si>
    <t>2910190M@student.gla.ac.uk</t>
  </si>
  <si>
    <t>James</t>
  </si>
  <si>
    <t>McGowan</t>
  </si>
  <si>
    <t>2915152m</t>
  </si>
  <si>
    <t>2915152</t>
  </si>
  <si>
    <t>2915152M@student.gla.ac.uk</t>
  </si>
  <si>
    <t>Sasha</t>
  </si>
  <si>
    <t>McIntosh</t>
  </si>
  <si>
    <t>2901821m</t>
  </si>
  <si>
    <t>2901821</t>
  </si>
  <si>
    <t>2901821M@student.gla.ac.uk</t>
  </si>
  <si>
    <t>Rory</t>
  </si>
  <si>
    <t>McMillan</t>
  </si>
  <si>
    <t>2892223m</t>
  </si>
  <si>
    <t>2892223</t>
  </si>
  <si>
    <t>2892223M@student.gla.ac.uk</t>
  </si>
  <si>
    <t>Euan</t>
  </si>
  <si>
    <t>McMurdo</t>
  </si>
  <si>
    <t>2886808m</t>
  </si>
  <si>
    <t>2886808</t>
  </si>
  <si>
    <t>2886808M@student.gla.ac.uk</t>
  </si>
  <si>
    <t>Douglas</t>
  </si>
  <si>
    <t>McNiven</t>
  </si>
  <si>
    <t>2684357m</t>
  </si>
  <si>
    <t>2684357</t>
  </si>
  <si>
    <t>2684357M@student.gla.ac.uk</t>
  </si>
  <si>
    <t>Orli</t>
  </si>
  <si>
    <t>Meiksin</t>
  </si>
  <si>
    <t>2759763m</t>
  </si>
  <si>
    <t>2759763</t>
  </si>
  <si>
    <t>2759763M@student.gla.ac.uk</t>
  </si>
  <si>
    <t>Tamas</t>
  </si>
  <si>
    <t>Mihaly</t>
  </si>
  <si>
    <t>2893490m</t>
  </si>
  <si>
    <t>2893490</t>
  </si>
  <si>
    <t>2893490M@student.gla.ac.uk</t>
  </si>
  <si>
    <t>Kate</t>
  </si>
  <si>
    <t>Miller</t>
  </si>
  <si>
    <t>2886661m</t>
  </si>
  <si>
    <t>2886661</t>
  </si>
  <si>
    <t>2886661M@student.gla.ac.uk</t>
  </si>
  <si>
    <t>Keir</t>
  </si>
  <si>
    <t>Moore</t>
  </si>
  <si>
    <t>2897313m</t>
  </si>
  <si>
    <t>2897313</t>
  </si>
  <si>
    <t>2897313M@student.gla.ac.uk</t>
  </si>
  <si>
    <t>Morgan</t>
  </si>
  <si>
    <t>2893692m</t>
  </si>
  <si>
    <t>2893692</t>
  </si>
  <si>
    <t>2893692M@student.gla.ac.uk</t>
  </si>
  <si>
    <t>Morrison</t>
  </si>
  <si>
    <t>2880747m</t>
  </si>
  <si>
    <t>2880747</t>
  </si>
  <si>
    <t>2880747M@student.gla.ac.uk</t>
  </si>
  <si>
    <t>Muir</t>
  </si>
  <si>
    <t>2891255m</t>
  </si>
  <si>
    <t>2891255</t>
  </si>
  <si>
    <t>2891255M@student.gla.ac.uk</t>
  </si>
  <si>
    <t>Munro</t>
  </si>
  <si>
    <t>2597267m</t>
  </si>
  <si>
    <t>2597267</t>
  </si>
  <si>
    <t>2597267M@student.gla.ac.uk</t>
  </si>
  <si>
    <t>Hannah</t>
  </si>
  <si>
    <t>Murdoch</t>
  </si>
  <si>
    <t>2890104m</t>
  </si>
  <si>
    <t>2890104</t>
  </si>
  <si>
    <t>2890104M@student.gla.ac.uk</t>
  </si>
  <si>
    <t>Steven</t>
  </si>
  <si>
    <t>Murphy</t>
  </si>
  <si>
    <t>2893340m</t>
  </si>
  <si>
    <t>2893340</t>
  </si>
  <si>
    <t>2893340M@student.gla.ac.uk</t>
  </si>
  <si>
    <t>Nguyen</t>
  </si>
  <si>
    <t>ln69g</t>
  </si>
  <si>
    <t>Khiem.Nguyen@glasgow.ac.uk</t>
  </si>
  <si>
    <t>NIK</t>
  </si>
  <si>
    <t>Nik Muhammad Haziq</t>
  </si>
  <si>
    <t>2959328b</t>
  </si>
  <si>
    <t>2959328B@student.gla.ac.uk</t>
  </si>
  <si>
    <t>Noman</t>
  </si>
  <si>
    <t>2860823n</t>
  </si>
  <si>
    <t>2860823</t>
  </si>
  <si>
    <t>2860823N@student.gla.ac.uk</t>
  </si>
  <si>
    <t>Marcus</t>
  </si>
  <si>
    <t>Palmer</t>
  </si>
  <si>
    <t>2882821p</t>
  </si>
  <si>
    <t>2882821</t>
  </si>
  <si>
    <t>2882821P@student.gla.ac.uk</t>
  </si>
  <si>
    <t>Nina</t>
  </si>
  <si>
    <t>Pawlak</t>
  </si>
  <si>
    <t>2462223p</t>
  </si>
  <si>
    <t>2462223P@student.gla.ac.uk</t>
  </si>
  <si>
    <t>Demonstrator: Choice #1</t>
  </si>
  <si>
    <t>Elena</t>
  </si>
  <si>
    <t>Peebles</t>
  </si>
  <si>
    <t>2919042p</t>
  </si>
  <si>
    <t>2919042</t>
  </si>
  <si>
    <t>2919042P@student.gla.ac.uk</t>
  </si>
  <si>
    <t>Powell-Evans</t>
  </si>
  <si>
    <t>2788408p</t>
  </si>
  <si>
    <t>2788408</t>
  </si>
  <si>
    <t>2788408P@student.gla.ac.uk</t>
  </si>
  <si>
    <t>Sevan</t>
  </si>
  <si>
    <t>Quinn</t>
  </si>
  <si>
    <t>2793257q</t>
  </si>
  <si>
    <t>2793257</t>
  </si>
  <si>
    <t>2793257Q@student.gla.ac.uk</t>
  </si>
  <si>
    <t>Jason</t>
  </si>
  <si>
    <t>Rae</t>
  </si>
  <si>
    <t>2890193r</t>
  </si>
  <si>
    <t>2890193</t>
  </si>
  <si>
    <t>2890193R@student.gla.ac.uk</t>
  </si>
  <si>
    <t>Syona</t>
  </si>
  <si>
    <t>Ramamoorthy</t>
  </si>
  <si>
    <t>2879340r</t>
  </si>
  <si>
    <t>2879340</t>
  </si>
  <si>
    <t>2879340R@student.gla.ac.uk</t>
  </si>
  <si>
    <t>Findlay</t>
  </si>
  <si>
    <t>Read</t>
  </si>
  <si>
    <t>2787095r</t>
  </si>
  <si>
    <t>2787095R@student.gla.ac.uk</t>
  </si>
  <si>
    <t>Iain</t>
  </si>
  <si>
    <t>Reaney</t>
  </si>
  <si>
    <t>2884154r</t>
  </si>
  <si>
    <t>2884154</t>
  </si>
  <si>
    <t>2884154R@student.gla.ac.uk</t>
  </si>
  <si>
    <t>Ritchie</t>
  </si>
  <si>
    <t>2887608r</t>
  </si>
  <si>
    <t>2887608</t>
  </si>
  <si>
    <t>2887608R@student.gla.ac.uk</t>
  </si>
  <si>
    <t>Callum</t>
  </si>
  <si>
    <t>Robertson</t>
  </si>
  <si>
    <t>2898068r</t>
  </si>
  <si>
    <t>2898068</t>
  </si>
  <si>
    <t>2898068R@student.gla.ac.uk</t>
  </si>
  <si>
    <t>Max</t>
  </si>
  <si>
    <t>Robless</t>
  </si>
  <si>
    <t>2793080r</t>
  </si>
  <si>
    <t>2793080</t>
  </si>
  <si>
    <t>2793080R@student.gla.ac.uk</t>
  </si>
  <si>
    <t>Tom</t>
  </si>
  <si>
    <t>Rodriguez</t>
  </si>
  <si>
    <t>2670692r</t>
  </si>
  <si>
    <t>2670692</t>
  </si>
  <si>
    <t>2670692R@student.gla.ac.uk</t>
  </si>
  <si>
    <t>Lydia</t>
  </si>
  <si>
    <t>2916961r</t>
  </si>
  <si>
    <t>2916961</t>
  </si>
  <si>
    <t>2916961R@student.gla.ac.uk</t>
  </si>
  <si>
    <t>2883902r</t>
  </si>
  <si>
    <t>2883902</t>
  </si>
  <si>
    <t>2883902R@student.gla.ac.uk</t>
  </si>
  <si>
    <t>Alina</t>
  </si>
  <si>
    <t>Sarwar Sajjad</t>
  </si>
  <si>
    <t>2802149s</t>
  </si>
  <si>
    <t>2802149</t>
  </si>
  <si>
    <t>2802149S@student.gla.ac.uk</t>
  </si>
  <si>
    <t>Anmol</t>
  </si>
  <si>
    <t>Singh</t>
  </si>
  <si>
    <t>2802135s</t>
  </si>
  <si>
    <t>2802135</t>
  </si>
  <si>
    <t>2802135S@student.gla.ac.uk</t>
  </si>
  <si>
    <t>Ghassan</t>
  </si>
  <si>
    <t>Soudan</t>
  </si>
  <si>
    <t>2915503s</t>
  </si>
  <si>
    <t>2915503</t>
  </si>
  <si>
    <t>2915503S@student.gla.ac.uk</t>
  </si>
  <si>
    <t>Chloe</t>
  </si>
  <si>
    <t>Steele</t>
  </si>
  <si>
    <t>2898166s</t>
  </si>
  <si>
    <t>2898166S@student.gla.ac.uk</t>
  </si>
  <si>
    <t>Zara</t>
  </si>
  <si>
    <t>2889998s</t>
  </si>
  <si>
    <t>2889998</t>
  </si>
  <si>
    <t>2889998S@student.gla.ac.uk</t>
  </si>
  <si>
    <t>Yushu</t>
  </si>
  <si>
    <t>Sun</t>
  </si>
  <si>
    <t>2900271s</t>
  </si>
  <si>
    <t>2900271S@student.gla.ac.uk</t>
  </si>
  <si>
    <t>Declan</t>
  </si>
  <si>
    <t>Sweeney</t>
  </si>
  <si>
    <t>2880646s</t>
  </si>
  <si>
    <t>2880646</t>
  </si>
  <si>
    <t>2880646S@student.gla.ac.uk</t>
  </si>
  <si>
    <t>Nidal</t>
  </si>
  <si>
    <t>Tareen</t>
  </si>
  <si>
    <t>2885951t</t>
  </si>
  <si>
    <t>2885951</t>
  </si>
  <si>
    <t>2885951T@student.gla.ac.uk</t>
  </si>
  <si>
    <t>Yi</t>
  </si>
  <si>
    <t>Tian</t>
  </si>
  <si>
    <t>2857982t</t>
  </si>
  <si>
    <t>2857982</t>
  </si>
  <si>
    <t>2857982T@student.gla.ac.uk</t>
  </si>
  <si>
    <t>The student told me that he got 2 from me. Please double check this</t>
  </si>
  <si>
    <t>Fraser</t>
  </si>
  <si>
    <t>Tilbury</t>
  </si>
  <si>
    <t>2902346t</t>
  </si>
  <si>
    <t>2902346</t>
  </si>
  <si>
    <t>2902346T@student.gla.ac.uk</t>
  </si>
  <si>
    <t>Aleksandra</t>
  </si>
  <si>
    <t>Trzaskos</t>
  </si>
  <si>
    <t>2920548t</t>
  </si>
  <si>
    <t>2920548</t>
  </si>
  <si>
    <t>2920548T@student.gla.ac.uk</t>
  </si>
  <si>
    <t>Stanislaw</t>
  </si>
  <si>
    <t>2961078t</t>
  </si>
  <si>
    <t>2961078</t>
  </si>
  <si>
    <t>2961078T@student.gla.ac.uk</t>
  </si>
  <si>
    <t>Tulett</t>
  </si>
  <si>
    <t>2891207t</t>
  </si>
  <si>
    <t>2891207</t>
  </si>
  <si>
    <t>2891207T@student.gla.ac.uk</t>
  </si>
  <si>
    <t>Austin</t>
  </si>
  <si>
    <t>Turville</t>
  </si>
  <si>
    <t>2916916t</t>
  </si>
  <si>
    <t>2916916</t>
  </si>
  <si>
    <t>2916916T@student.gla.ac.uk</t>
  </si>
  <si>
    <t>Andrew</t>
  </si>
  <si>
    <t>Wallace</t>
  </si>
  <si>
    <t>2561290w</t>
  </si>
  <si>
    <t>2561290</t>
  </si>
  <si>
    <t>2561290W@student.gla.ac.uk</t>
  </si>
  <si>
    <t>Dillon</t>
  </si>
  <si>
    <t>Walls</t>
  </si>
  <si>
    <t>2881686w</t>
  </si>
  <si>
    <t>2881686</t>
  </si>
  <si>
    <t>2881686W@student.gla.ac.uk</t>
  </si>
  <si>
    <t>Elise</t>
  </si>
  <si>
    <t>Warde</t>
  </si>
  <si>
    <t>2897355w</t>
  </si>
  <si>
    <t>2897355</t>
  </si>
  <si>
    <t>2897355W@student.gla.ac.uk</t>
  </si>
  <si>
    <t>Watt</t>
  </si>
  <si>
    <t>2701533w</t>
  </si>
  <si>
    <t>2701533</t>
  </si>
  <si>
    <t>2701533W@student.gla.ac.uk</t>
  </si>
  <si>
    <t>Brodie</t>
  </si>
  <si>
    <t>White</t>
  </si>
  <si>
    <t>2885086w</t>
  </si>
  <si>
    <t>2885086</t>
  </si>
  <si>
    <t>2885086W@student.gla.ac.uk</t>
  </si>
  <si>
    <t>Edie</t>
  </si>
  <si>
    <t>Wight</t>
  </si>
  <si>
    <t>2891188w</t>
  </si>
  <si>
    <t>2891188</t>
  </si>
  <si>
    <t>2891188W@student.gla.ac.uk</t>
  </si>
  <si>
    <t>Alex</t>
  </si>
  <si>
    <t>Wong</t>
  </si>
  <si>
    <t>2801142w</t>
  </si>
  <si>
    <t>2801142</t>
  </si>
  <si>
    <t>2801142W@student.gla.ac.uk</t>
  </si>
  <si>
    <t>Hyuntaek</t>
  </si>
  <si>
    <t>Woo</t>
  </si>
  <si>
    <t>2878472w</t>
  </si>
  <si>
    <t>2878472</t>
  </si>
  <si>
    <t>2878472W@student.gla.ac.uk</t>
  </si>
  <si>
    <t>Peigen</t>
  </si>
  <si>
    <t>Yan</t>
  </si>
  <si>
    <t>2861590y</t>
  </si>
  <si>
    <t>2861590</t>
  </si>
  <si>
    <t>2861590Y@student.gla.ac.uk</t>
  </si>
  <si>
    <t>Long</t>
  </si>
  <si>
    <t>Yeung</t>
  </si>
  <si>
    <t>2758950y</t>
  </si>
  <si>
    <t>2758950</t>
  </si>
  <si>
    <t>2758950Y@student.gla.ac.uk</t>
  </si>
  <si>
    <t>Richard</t>
  </si>
  <si>
    <t>Yu</t>
  </si>
  <si>
    <t>2888784y</t>
  </si>
  <si>
    <t>2888784</t>
  </si>
  <si>
    <t>2888784Y@student.gla.ac.uk</t>
  </si>
  <si>
    <t>Zhangze</t>
  </si>
  <si>
    <t>2841035y</t>
  </si>
  <si>
    <t>2841035</t>
  </si>
  <si>
    <t>2841035Y@student.gla.ac.uk</t>
  </si>
  <si>
    <t>Zhengyu</t>
  </si>
  <si>
    <t>Zhu</t>
  </si>
  <si>
    <t>2879275z</t>
  </si>
  <si>
    <t>2879275</t>
  </si>
  <si>
    <t>2879275Z@student.gla.ac.uk</t>
  </si>
  <si>
    <t>This is the guy who tried to use chatgpt during the marking and did not get busted!</t>
  </si>
  <si>
    <t>I marked him 3/6 or 3.5. What happened?</t>
  </si>
  <si>
    <t>I marked him 6/7 for ass-03. Clearly, he got remarked.</t>
  </si>
  <si>
    <t>I marked him 4/7 for ass-02 too.</t>
  </si>
  <si>
    <t>No need for tolerance due to clear dishonesty</t>
  </si>
  <si>
    <t>Extra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</si>
</sst>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rgb="FF000000"/>
      <name val="Calibri"/>
    </font>
    <font>
      <b/>
      <i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</font>
    <font>
      <b/>
      <i/>
      <sz val="12"/>
      <color rgb="FF000000"/>
      <name val="Calibri"/>
    </font>
    <font>
      <b/>
      <i/>
      <sz val="12"/>
      <name val="Calibri"/>
      <family val="2"/>
    </font>
    <font>
      <sz val="12"/>
      <color theme="2"/>
      <name val="Calibri"/>
      <family val="2"/>
    </font>
    <font>
      <sz val="12"/>
      <color theme="1"/>
      <name val="Calibri"/>
    </font>
    <font>
      <sz val="12"/>
      <color rgb="FFFF00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</font>
    <font>
      <b/>
      <i/>
      <sz val="12"/>
      <color rgb="FFFF0000"/>
      <name val="Calibri"/>
    </font>
    <font>
      <sz val="9"/>
      <color rgb="FF000000"/>
      <name val="Segoe UI"/>
      <family val="2"/>
    </font>
    <font>
      <i/>
      <sz val="12"/>
      <color rgb="FFFF0000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3" fillId="3" borderId="0" xfId="0" applyFont="1" applyFill="1"/>
    <xf numFmtId="0" fontId="4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7" fillId="2" borderId="1" xfId="0" applyFont="1" applyFill="1" applyBorder="1"/>
    <xf numFmtId="0" fontId="6" fillId="2" borderId="1" xfId="0" applyFont="1" applyFill="1" applyBorder="1"/>
    <xf numFmtId="0" fontId="8" fillId="6" borderId="0" xfId="0" applyFont="1" applyFill="1"/>
    <xf numFmtId="0" fontId="9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10" fillId="0" borderId="0" xfId="0" applyFont="1"/>
    <xf numFmtId="0" fontId="11" fillId="8" borderId="0" xfId="0" applyFont="1" applyFill="1"/>
    <xf numFmtId="0" fontId="11" fillId="8" borderId="0" xfId="0" applyFont="1" applyFill="1" applyAlignment="1">
      <alignment horizontal="center"/>
    </xf>
    <xf numFmtId="0" fontId="7" fillId="0" borderId="1" xfId="0" applyFont="1" applyBorder="1"/>
    <xf numFmtId="0" fontId="14" fillId="0" borderId="0" xfId="0" applyFont="1" applyAlignment="1">
      <alignment vertical="center"/>
    </xf>
    <xf numFmtId="0" fontId="12" fillId="9" borderId="0" xfId="0" applyFont="1" applyFill="1"/>
    <xf numFmtId="0" fontId="1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13" fillId="9" borderId="0" xfId="0" applyFont="1" applyFill="1"/>
    <xf numFmtId="0" fontId="15" fillId="9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10" borderId="0" xfId="0" applyFill="1" applyAlignment="1">
      <alignment horizontal="center"/>
    </xf>
    <xf numFmtId="0" fontId="0" fillId="10" borderId="0" xfId="0" applyFill="1"/>
    <xf numFmtId="0" fontId="0" fillId="11" borderId="0" xfId="0" applyFill="1" applyAlignment="1">
      <alignment horizontal="center"/>
    </xf>
    <xf numFmtId="0" fontId="0" fillId="11" borderId="0" xfId="0" applyFill="1"/>
    <xf numFmtId="0" fontId="16" fillId="0" borderId="0" xfId="0" applyFont="1"/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6" fillId="11" borderId="0" xfId="0" applyFont="1" applyFill="1" applyAlignment="1">
      <alignment horizontal="center"/>
    </xf>
    <xf numFmtId="0" fontId="16" fillId="11" borderId="0" xfId="0" applyFont="1" applyFill="1"/>
    <xf numFmtId="0" fontId="17" fillId="7" borderId="0" xfId="1" applyFill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hiem Nguyen" id="{0C719505-EDE0-4000-801E-B7D214D244CC}" userId="S::Khiem.Nguyen@glasgow.ac.uk::7c318b1d-befb-4cc4-9c51-24b47fad57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0" dT="2025-11-16T20:56:30.43" personId="{0C719505-EDE0-4000-801E-B7D214D244CC}" id="{66E6784A-FF4B-4FDA-A12B-DEB04B31AA87}">
    <text>The student told me that he got 2 from me. Please double check this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"/>
  <sheetViews>
    <sheetView tabSelected="1" topLeftCell="I1" zoomScale="111" workbookViewId="0">
      <selection activeCell="O18" sqref="O18"/>
    </sheetView>
  </sheetViews>
  <sheetFormatPr defaultRowHeight="15.75" x14ac:dyDescent="0.25"/>
  <cols>
    <col min="1" max="1" width="13.375" customWidth="1"/>
    <col min="2" max="2" width="15.75" customWidth="1"/>
    <col min="3" max="3" width="10" bestFit="1" customWidth="1"/>
    <col min="4" max="4" width="9.25" bestFit="1" customWidth="1"/>
    <col min="5" max="5" width="26.75" bestFit="1" customWidth="1"/>
    <col min="6" max="6" width="8.625" bestFit="1" customWidth="1"/>
    <col min="7" max="7" width="11.875" style="5" customWidth="1"/>
    <col min="8" max="8" width="10.25" customWidth="1"/>
    <col min="9" max="9" width="12.25" style="5" customWidth="1"/>
    <col min="10" max="10" width="8.625" customWidth="1"/>
    <col min="11" max="11" width="11.75" style="5" bestFit="1" customWidth="1"/>
    <col min="12" max="12" width="8.625" bestFit="1" customWidth="1"/>
    <col min="14" max="14" width="46.125" bestFit="1" customWidth="1"/>
    <col min="15" max="15" width="10.375" style="5" bestFit="1" customWidth="1"/>
    <col min="16" max="16" width="147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4" t="s">
        <v>10</v>
      </c>
      <c r="L1" s="2" t="s">
        <v>11</v>
      </c>
      <c r="M1" s="4" t="s">
        <v>12</v>
      </c>
      <c r="N1" s="19" t="s">
        <v>13</v>
      </c>
      <c r="O1" s="20" t="s">
        <v>675</v>
      </c>
      <c r="P1" s="20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G2" s="30">
        <v>5</v>
      </c>
      <c r="H2" s="29" t="s">
        <v>20</v>
      </c>
      <c r="I2" s="30">
        <v>7</v>
      </c>
      <c r="J2" s="29" t="s">
        <v>20</v>
      </c>
      <c r="K2" s="30">
        <f>6+1</f>
        <v>7</v>
      </c>
      <c r="L2" s="29" t="s">
        <v>21</v>
      </c>
      <c r="M2" s="29">
        <f t="shared" ref="M2:M33" si="0">G2+I2+K2</f>
        <v>19</v>
      </c>
      <c r="P2" t="s">
        <v>22</v>
      </c>
    </row>
    <row r="3" spans="1:16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G3" s="5">
        <v>2</v>
      </c>
      <c r="H3" t="s">
        <v>28</v>
      </c>
      <c r="I3" s="5">
        <v>3</v>
      </c>
      <c r="J3" t="s">
        <v>29</v>
      </c>
      <c r="K3" s="5">
        <v>2</v>
      </c>
      <c r="L3" t="s">
        <v>21</v>
      </c>
      <c r="M3">
        <f t="shared" si="0"/>
        <v>7</v>
      </c>
    </row>
    <row r="4" spans="1:1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G4" s="5">
        <v>3</v>
      </c>
      <c r="H4" t="s">
        <v>28</v>
      </c>
      <c r="I4" s="5">
        <v>6</v>
      </c>
      <c r="J4" t="s">
        <v>21</v>
      </c>
      <c r="K4" s="5">
        <v>3</v>
      </c>
      <c r="L4" t="s">
        <v>21</v>
      </c>
      <c r="M4">
        <f t="shared" si="0"/>
        <v>12</v>
      </c>
    </row>
    <row r="5" spans="1:16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G5" s="5">
        <v>4</v>
      </c>
      <c r="H5" t="s">
        <v>20</v>
      </c>
      <c r="I5" s="5">
        <v>5</v>
      </c>
      <c r="J5" t="s">
        <v>20</v>
      </c>
      <c r="K5" s="5">
        <v>2</v>
      </c>
      <c r="L5" t="s">
        <v>40</v>
      </c>
      <c r="M5">
        <f t="shared" si="0"/>
        <v>11</v>
      </c>
    </row>
    <row r="6" spans="1:16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G6" s="5">
        <v>6</v>
      </c>
      <c r="H6" t="s">
        <v>21</v>
      </c>
      <c r="I6" s="5">
        <v>7</v>
      </c>
      <c r="J6" t="s">
        <v>21</v>
      </c>
      <c r="K6" s="5">
        <v>4</v>
      </c>
      <c r="L6" t="s">
        <v>21</v>
      </c>
      <c r="M6">
        <f t="shared" si="0"/>
        <v>17</v>
      </c>
      <c r="P6" t="s">
        <v>22</v>
      </c>
    </row>
    <row r="7" spans="1:16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G7" s="5">
        <v>3</v>
      </c>
      <c r="H7" t="s">
        <v>20</v>
      </c>
      <c r="I7" s="5">
        <v>2</v>
      </c>
      <c r="J7" t="s">
        <v>21</v>
      </c>
      <c r="K7" s="5">
        <v>2</v>
      </c>
      <c r="L7" t="s">
        <v>21</v>
      </c>
      <c r="M7">
        <f t="shared" si="0"/>
        <v>7</v>
      </c>
    </row>
    <row r="8" spans="1:16" x14ac:dyDescent="0.25">
      <c r="A8" t="s">
        <v>51</v>
      </c>
      <c r="B8" t="s">
        <v>52</v>
      </c>
      <c r="C8" t="s">
        <v>53</v>
      </c>
      <c r="D8">
        <v>2778726</v>
      </c>
      <c r="E8" t="s">
        <v>54</v>
      </c>
      <c r="G8" s="5">
        <v>2</v>
      </c>
      <c r="H8" t="s">
        <v>21</v>
      </c>
      <c r="I8" s="5">
        <v>2</v>
      </c>
      <c r="J8" t="s">
        <v>28</v>
      </c>
      <c r="K8" s="5">
        <v>3</v>
      </c>
      <c r="L8" t="s">
        <v>28</v>
      </c>
      <c r="M8">
        <f t="shared" si="0"/>
        <v>7</v>
      </c>
    </row>
    <row r="9" spans="1:16" x14ac:dyDescent="0.25">
      <c r="A9" s="23" t="s">
        <v>55</v>
      </c>
      <c r="B9" s="23" t="s">
        <v>56</v>
      </c>
      <c r="C9" s="23" t="s">
        <v>57</v>
      </c>
      <c r="D9" s="23" t="s">
        <v>58</v>
      </c>
      <c r="E9" s="23" t="s">
        <v>59</v>
      </c>
      <c r="F9" s="23"/>
      <c r="G9" s="24">
        <v>3</v>
      </c>
      <c r="H9" s="23" t="s">
        <v>40</v>
      </c>
      <c r="I9" s="25">
        <v>0</v>
      </c>
      <c r="J9" s="26"/>
      <c r="K9" s="25">
        <v>0</v>
      </c>
      <c r="L9" s="27"/>
      <c r="M9" s="23">
        <f t="shared" si="0"/>
        <v>3</v>
      </c>
      <c r="N9" s="23"/>
      <c r="O9" s="24"/>
      <c r="P9" s="28" t="s">
        <v>60</v>
      </c>
    </row>
    <row r="10" spans="1:16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G10" s="5">
        <v>2</v>
      </c>
      <c r="H10" t="s">
        <v>21</v>
      </c>
      <c r="I10" s="5">
        <v>6</v>
      </c>
      <c r="J10" t="s">
        <v>20</v>
      </c>
      <c r="K10" s="5">
        <v>3</v>
      </c>
      <c r="L10" t="s">
        <v>40</v>
      </c>
      <c r="M10">
        <f t="shared" si="0"/>
        <v>11</v>
      </c>
    </row>
    <row r="11" spans="1:16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G11" s="5">
        <v>5.5</v>
      </c>
      <c r="H11" t="s">
        <v>40</v>
      </c>
      <c r="I11" s="5">
        <v>4</v>
      </c>
      <c r="J11" t="s">
        <v>29</v>
      </c>
      <c r="K11" s="5">
        <v>5.5</v>
      </c>
      <c r="L11" t="s">
        <v>20</v>
      </c>
      <c r="M11">
        <f t="shared" si="0"/>
        <v>15</v>
      </c>
    </row>
    <row r="12" spans="1:16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G12" s="5">
        <v>2</v>
      </c>
      <c r="H12" t="s">
        <v>21</v>
      </c>
      <c r="I12" s="5">
        <v>4</v>
      </c>
      <c r="J12" t="s">
        <v>29</v>
      </c>
      <c r="K12" s="5">
        <v>4.5</v>
      </c>
      <c r="L12" t="s">
        <v>20</v>
      </c>
      <c r="M12">
        <f t="shared" si="0"/>
        <v>10.5</v>
      </c>
    </row>
    <row r="13" spans="1:16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G13" s="14"/>
      <c r="H13" s="15"/>
      <c r="I13" s="14"/>
      <c r="J13" s="15"/>
      <c r="K13" s="14"/>
      <c r="L13" s="15"/>
      <c r="M13">
        <f t="shared" si="0"/>
        <v>0</v>
      </c>
    </row>
    <row r="14" spans="1:16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G14" s="5">
        <v>5</v>
      </c>
      <c r="H14" t="s">
        <v>28</v>
      </c>
      <c r="I14" s="5">
        <v>2</v>
      </c>
      <c r="J14" t="s">
        <v>28</v>
      </c>
      <c r="K14" s="5">
        <v>2</v>
      </c>
      <c r="L14" t="s">
        <v>28</v>
      </c>
      <c r="M14">
        <f t="shared" si="0"/>
        <v>9</v>
      </c>
    </row>
    <row r="15" spans="1:16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G15" s="5">
        <v>3</v>
      </c>
      <c r="H15" t="s">
        <v>40</v>
      </c>
      <c r="I15" s="42">
        <v>2</v>
      </c>
      <c r="J15" s="41" t="s">
        <v>29</v>
      </c>
      <c r="K15" s="42">
        <v>4</v>
      </c>
      <c r="L15" s="41" t="s">
        <v>40</v>
      </c>
      <c r="M15">
        <f t="shared" si="0"/>
        <v>9</v>
      </c>
      <c r="N15" t="s">
        <v>91</v>
      </c>
      <c r="P15" s="3" t="s">
        <v>92</v>
      </c>
    </row>
    <row r="16" spans="1:16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G16" s="5">
        <v>2</v>
      </c>
      <c r="H16" t="s">
        <v>21</v>
      </c>
      <c r="I16" s="5">
        <v>2.5</v>
      </c>
      <c r="J16" t="s">
        <v>20</v>
      </c>
      <c r="K16" s="5">
        <v>2</v>
      </c>
      <c r="L16" t="s">
        <v>20</v>
      </c>
      <c r="M16">
        <f t="shared" si="0"/>
        <v>6.5</v>
      </c>
    </row>
    <row r="17" spans="1:16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G17" s="5">
        <v>1</v>
      </c>
      <c r="H17" t="s">
        <v>28</v>
      </c>
      <c r="M17">
        <f t="shared" si="0"/>
        <v>1</v>
      </c>
      <c r="P17" t="s">
        <v>22</v>
      </c>
    </row>
    <row r="18" spans="1:16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G18" s="5">
        <v>4</v>
      </c>
      <c r="H18" t="s">
        <v>40</v>
      </c>
      <c r="I18" s="5">
        <v>5</v>
      </c>
      <c r="J18" t="s">
        <v>40</v>
      </c>
      <c r="K18" s="5">
        <v>4.5</v>
      </c>
      <c r="L18" t="s">
        <v>21</v>
      </c>
      <c r="M18">
        <f t="shared" si="0"/>
        <v>13.5</v>
      </c>
    </row>
    <row r="19" spans="1:16" x14ac:dyDescent="0.25">
      <c r="A19" s="12" t="s">
        <v>29</v>
      </c>
      <c r="B19" s="12" t="s">
        <v>108</v>
      </c>
      <c r="C19" s="12" t="s">
        <v>109</v>
      </c>
      <c r="D19" s="12">
        <v>2577950</v>
      </c>
      <c r="E19" s="12" t="s">
        <v>110</v>
      </c>
      <c r="G19" s="16"/>
      <c r="H19" s="17"/>
      <c r="I19" s="16"/>
      <c r="J19" s="17"/>
      <c r="K19" s="16"/>
      <c r="L19" s="17"/>
      <c r="M19">
        <f t="shared" si="0"/>
        <v>0</v>
      </c>
    </row>
    <row r="20" spans="1:16" x14ac:dyDescent="0.2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G20" s="5">
        <v>2</v>
      </c>
      <c r="H20" t="s">
        <v>21</v>
      </c>
      <c r="I20" s="5">
        <v>3.5</v>
      </c>
      <c r="J20" t="s">
        <v>20</v>
      </c>
      <c r="K20" s="5">
        <v>4</v>
      </c>
      <c r="L20" t="s">
        <v>40</v>
      </c>
      <c r="M20">
        <f t="shared" si="0"/>
        <v>9.5</v>
      </c>
    </row>
    <row r="21" spans="1:16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G21" s="5">
        <v>5</v>
      </c>
      <c r="H21" t="s">
        <v>29</v>
      </c>
      <c r="I21" s="5">
        <v>3</v>
      </c>
      <c r="J21" t="s">
        <v>20</v>
      </c>
      <c r="K21" s="5">
        <v>4</v>
      </c>
      <c r="L21" t="s">
        <v>21</v>
      </c>
      <c r="M21">
        <f t="shared" si="0"/>
        <v>12</v>
      </c>
    </row>
    <row r="22" spans="1:16" x14ac:dyDescent="0.25">
      <c r="A22" t="s">
        <v>121</v>
      </c>
      <c r="B22" t="s">
        <v>122</v>
      </c>
      <c r="C22" t="s">
        <v>123</v>
      </c>
      <c r="D22">
        <v>2775729</v>
      </c>
      <c r="E22" t="s">
        <v>124</v>
      </c>
      <c r="G22" s="5">
        <v>3</v>
      </c>
      <c r="H22" t="s">
        <v>40</v>
      </c>
      <c r="I22" s="5">
        <v>5</v>
      </c>
      <c r="J22" t="s">
        <v>40</v>
      </c>
      <c r="K22" s="5">
        <v>3</v>
      </c>
      <c r="L22" t="s">
        <v>21</v>
      </c>
      <c r="M22">
        <f t="shared" si="0"/>
        <v>11</v>
      </c>
      <c r="P22" t="s">
        <v>670</v>
      </c>
    </row>
    <row r="23" spans="1:16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G23" s="5">
        <v>2</v>
      </c>
      <c r="H23" t="s">
        <v>21</v>
      </c>
      <c r="I23" s="5">
        <v>7</v>
      </c>
      <c r="J23" t="s">
        <v>21</v>
      </c>
      <c r="K23" s="5">
        <v>4</v>
      </c>
      <c r="L23" t="s">
        <v>21</v>
      </c>
      <c r="M23">
        <f t="shared" si="0"/>
        <v>13</v>
      </c>
      <c r="O23" s="5">
        <v>3</v>
      </c>
      <c r="P23" t="s">
        <v>22</v>
      </c>
    </row>
    <row r="24" spans="1:16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G24" s="5">
        <v>2</v>
      </c>
      <c r="H24" t="s">
        <v>21</v>
      </c>
      <c r="K24" s="5">
        <v>3</v>
      </c>
      <c r="L24" t="s">
        <v>40</v>
      </c>
      <c r="M24">
        <f t="shared" si="0"/>
        <v>5</v>
      </c>
    </row>
    <row r="25" spans="1:16" x14ac:dyDescent="0.25">
      <c r="A25" t="s">
        <v>135</v>
      </c>
      <c r="B25" t="s">
        <v>136</v>
      </c>
      <c r="C25" t="s">
        <v>137</v>
      </c>
      <c r="D25">
        <v>2801687</v>
      </c>
      <c r="E25" t="s">
        <v>138</v>
      </c>
      <c r="G25" s="6">
        <v>6</v>
      </c>
      <c r="H25" s="7" t="s">
        <v>40</v>
      </c>
      <c r="I25" s="6">
        <v>7</v>
      </c>
      <c r="J25" s="7" t="s">
        <v>40</v>
      </c>
      <c r="K25" s="6">
        <v>7</v>
      </c>
      <c r="L25" s="7" t="s">
        <v>21</v>
      </c>
      <c r="M25">
        <f t="shared" si="0"/>
        <v>20</v>
      </c>
      <c r="N25" s="10" t="s">
        <v>139</v>
      </c>
      <c r="O25" s="48"/>
    </row>
    <row r="26" spans="1:16" x14ac:dyDescent="0.25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G26" s="5">
        <v>2</v>
      </c>
      <c r="H26" t="s">
        <v>21</v>
      </c>
      <c r="I26" s="5">
        <v>2</v>
      </c>
      <c r="J26" t="s">
        <v>29</v>
      </c>
      <c r="K26" s="5">
        <v>2</v>
      </c>
      <c r="L26" t="s">
        <v>29</v>
      </c>
      <c r="M26">
        <f t="shared" si="0"/>
        <v>6</v>
      </c>
    </row>
    <row r="27" spans="1:16" x14ac:dyDescent="0.2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G27" s="5">
        <v>2</v>
      </c>
      <c r="H27" t="s">
        <v>21</v>
      </c>
      <c r="I27" s="5">
        <v>4</v>
      </c>
      <c r="J27" t="s">
        <v>40</v>
      </c>
      <c r="K27" s="5">
        <v>3</v>
      </c>
      <c r="L27" t="s">
        <v>40</v>
      </c>
      <c r="M27">
        <f t="shared" si="0"/>
        <v>9</v>
      </c>
    </row>
    <row r="28" spans="1:16" x14ac:dyDescent="0.25">
      <c r="A28" t="s">
        <v>76</v>
      </c>
      <c r="B28" t="s">
        <v>150</v>
      </c>
      <c r="C28" t="s">
        <v>151</v>
      </c>
      <c r="D28" t="s">
        <v>152</v>
      </c>
      <c r="E28" t="s">
        <v>153</v>
      </c>
      <c r="G28" s="14"/>
      <c r="H28" s="15"/>
      <c r="I28" s="14">
        <v>2</v>
      </c>
      <c r="J28" s="15" t="s">
        <v>29</v>
      </c>
      <c r="K28" s="14">
        <v>3</v>
      </c>
      <c r="L28" s="15" t="s">
        <v>28</v>
      </c>
      <c r="M28">
        <f t="shared" si="0"/>
        <v>5</v>
      </c>
    </row>
    <row r="29" spans="1:16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G29" s="5">
        <v>4</v>
      </c>
      <c r="H29" s="3" t="s">
        <v>159</v>
      </c>
      <c r="I29" s="5">
        <v>5.5</v>
      </c>
      <c r="J29" t="s">
        <v>40</v>
      </c>
      <c r="K29" s="5">
        <v>7</v>
      </c>
      <c r="L29" t="s">
        <v>21</v>
      </c>
      <c r="M29">
        <f t="shared" si="0"/>
        <v>16.5</v>
      </c>
    </row>
    <row r="30" spans="1:16" x14ac:dyDescent="0.25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G30" s="5">
        <v>6</v>
      </c>
      <c r="H30" t="s">
        <v>29</v>
      </c>
      <c r="I30" s="5">
        <v>2</v>
      </c>
      <c r="J30" t="s">
        <v>40</v>
      </c>
      <c r="K30" s="5">
        <v>2</v>
      </c>
      <c r="L30" t="s">
        <v>28</v>
      </c>
      <c r="M30">
        <f t="shared" si="0"/>
        <v>10</v>
      </c>
    </row>
    <row r="31" spans="1:16" x14ac:dyDescent="0.25">
      <c r="A31" s="12" t="s">
        <v>20</v>
      </c>
      <c r="B31" s="12" t="s">
        <v>165</v>
      </c>
      <c r="C31" s="12" t="s">
        <v>166</v>
      </c>
      <c r="D31" s="12">
        <v>2597473</v>
      </c>
      <c r="E31" s="12" t="s">
        <v>167</v>
      </c>
      <c r="G31" s="16"/>
      <c r="H31" s="17"/>
      <c r="I31" s="16"/>
      <c r="J31" s="17"/>
      <c r="K31" s="16"/>
      <c r="L31" s="17"/>
      <c r="M31">
        <f t="shared" si="0"/>
        <v>0</v>
      </c>
    </row>
    <row r="32" spans="1:16" x14ac:dyDescent="0.25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G32" s="5">
        <v>5.5</v>
      </c>
      <c r="H32" t="s">
        <v>40</v>
      </c>
      <c r="I32" s="5">
        <v>4.5</v>
      </c>
      <c r="J32" t="s">
        <v>40</v>
      </c>
      <c r="K32" s="5">
        <v>3</v>
      </c>
      <c r="L32" t="s">
        <v>40</v>
      </c>
      <c r="M32">
        <f t="shared" si="0"/>
        <v>13</v>
      </c>
    </row>
    <row r="33" spans="1:16" x14ac:dyDescent="0.25">
      <c r="A33" t="s">
        <v>173</v>
      </c>
      <c r="B33" t="s">
        <v>174</v>
      </c>
      <c r="C33" t="s">
        <v>175</v>
      </c>
      <c r="D33" t="s">
        <v>176</v>
      </c>
      <c r="E33" t="s">
        <v>177</v>
      </c>
      <c r="G33" s="13">
        <v>4.5</v>
      </c>
      <c r="H33" t="s">
        <v>40</v>
      </c>
      <c r="I33" s="5">
        <v>5</v>
      </c>
      <c r="J33" t="s">
        <v>40</v>
      </c>
      <c r="M33">
        <f t="shared" si="0"/>
        <v>9.5</v>
      </c>
    </row>
    <row r="34" spans="1:16" x14ac:dyDescent="0.25">
      <c r="A34" t="s">
        <v>178</v>
      </c>
      <c r="B34" t="s">
        <v>179</v>
      </c>
      <c r="C34" t="s">
        <v>180</v>
      </c>
      <c r="D34">
        <v>2892162</v>
      </c>
      <c r="E34" t="s">
        <v>181</v>
      </c>
      <c r="G34" s="30">
        <v>6</v>
      </c>
      <c r="H34" s="29" t="s">
        <v>21</v>
      </c>
      <c r="I34" s="30">
        <v>6</v>
      </c>
      <c r="J34" s="29" t="s">
        <v>21</v>
      </c>
      <c r="K34" s="30">
        <v>7</v>
      </c>
      <c r="L34" s="29" t="s">
        <v>21</v>
      </c>
      <c r="M34" s="29">
        <f t="shared" ref="M34:M65" si="1">G34+I34+K34</f>
        <v>19</v>
      </c>
      <c r="P34" t="s">
        <v>22</v>
      </c>
    </row>
    <row r="35" spans="1:16" x14ac:dyDescent="0.2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G35" s="5">
        <v>3</v>
      </c>
      <c r="H35" t="s">
        <v>29</v>
      </c>
      <c r="I35" s="5">
        <v>4</v>
      </c>
      <c r="J35" t="s">
        <v>29</v>
      </c>
      <c r="K35" s="5">
        <v>6</v>
      </c>
      <c r="L35" t="s">
        <v>40</v>
      </c>
      <c r="M35">
        <f t="shared" si="1"/>
        <v>13</v>
      </c>
    </row>
    <row r="36" spans="1:16" x14ac:dyDescent="0.25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G36" s="5">
        <v>4</v>
      </c>
      <c r="H36" t="s">
        <v>29</v>
      </c>
      <c r="I36" s="5">
        <v>2</v>
      </c>
      <c r="J36" t="s">
        <v>20</v>
      </c>
      <c r="K36" s="5">
        <v>2</v>
      </c>
      <c r="L36" t="s">
        <v>29</v>
      </c>
      <c r="M36">
        <f t="shared" si="1"/>
        <v>8</v>
      </c>
    </row>
    <row r="37" spans="1:16" x14ac:dyDescent="0.2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G37" s="5">
        <v>2</v>
      </c>
      <c r="H37" t="s">
        <v>21</v>
      </c>
      <c r="I37" s="5">
        <v>4</v>
      </c>
      <c r="J37" t="s">
        <v>29</v>
      </c>
      <c r="K37" s="5">
        <v>6</v>
      </c>
      <c r="L37" t="s">
        <v>20</v>
      </c>
      <c r="M37">
        <f t="shared" si="1"/>
        <v>12</v>
      </c>
    </row>
    <row r="38" spans="1:16" x14ac:dyDescent="0.25">
      <c r="A38" t="s">
        <v>86</v>
      </c>
      <c r="B38" t="s">
        <v>197</v>
      </c>
      <c r="C38" t="s">
        <v>198</v>
      </c>
      <c r="D38" t="s">
        <v>199</v>
      </c>
      <c r="E38" t="s">
        <v>200</v>
      </c>
      <c r="G38" s="5">
        <v>6</v>
      </c>
      <c r="H38" t="s">
        <v>20</v>
      </c>
      <c r="I38" s="5">
        <v>7</v>
      </c>
      <c r="J38" t="s">
        <v>21</v>
      </c>
      <c r="K38" s="5">
        <v>4</v>
      </c>
      <c r="L38" t="s">
        <v>21</v>
      </c>
      <c r="M38">
        <f t="shared" si="1"/>
        <v>17</v>
      </c>
    </row>
    <row r="39" spans="1:16" x14ac:dyDescent="0.25">
      <c r="A39" s="12" t="s">
        <v>201</v>
      </c>
      <c r="B39" s="12" t="s">
        <v>202</v>
      </c>
      <c r="C39" s="12" t="s">
        <v>203</v>
      </c>
      <c r="D39" s="12">
        <v>106206</v>
      </c>
      <c r="E39" s="12" t="s">
        <v>204</v>
      </c>
      <c r="G39" s="39"/>
      <c r="H39" s="40"/>
      <c r="I39" s="39"/>
      <c r="J39" s="40"/>
      <c r="K39" s="39"/>
      <c r="L39" s="40"/>
      <c r="M39">
        <f t="shared" si="1"/>
        <v>0</v>
      </c>
    </row>
    <row r="40" spans="1:16" x14ac:dyDescent="0.25">
      <c r="A40" t="s">
        <v>205</v>
      </c>
      <c r="B40" t="s">
        <v>206</v>
      </c>
      <c r="C40" t="s">
        <v>207</v>
      </c>
      <c r="D40" t="s">
        <v>208</v>
      </c>
      <c r="E40" t="s">
        <v>209</v>
      </c>
      <c r="G40" s="5">
        <v>2</v>
      </c>
      <c r="H40" t="s">
        <v>40</v>
      </c>
      <c r="I40" s="5">
        <v>6</v>
      </c>
      <c r="J40" t="s">
        <v>20</v>
      </c>
      <c r="K40" s="5">
        <v>5</v>
      </c>
      <c r="L40" t="s">
        <v>29</v>
      </c>
      <c r="M40">
        <f t="shared" si="1"/>
        <v>13</v>
      </c>
    </row>
    <row r="41" spans="1:16" x14ac:dyDescent="0.25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G41" s="5">
        <v>3</v>
      </c>
      <c r="H41" t="s">
        <v>29</v>
      </c>
      <c r="I41" s="5">
        <v>3</v>
      </c>
      <c r="J41" t="s">
        <v>29</v>
      </c>
      <c r="K41" s="5">
        <v>5</v>
      </c>
      <c r="L41" t="s">
        <v>29</v>
      </c>
      <c r="M41">
        <f t="shared" si="1"/>
        <v>11</v>
      </c>
    </row>
    <row r="42" spans="1:16" x14ac:dyDescent="0.25">
      <c r="A42" t="s">
        <v>215</v>
      </c>
      <c r="B42" t="s">
        <v>216</v>
      </c>
      <c r="C42" t="s">
        <v>217</v>
      </c>
      <c r="D42" t="s">
        <v>218</v>
      </c>
      <c r="E42" t="s">
        <v>219</v>
      </c>
      <c r="G42" s="5">
        <v>6</v>
      </c>
      <c r="H42" t="s">
        <v>20</v>
      </c>
      <c r="I42" s="5">
        <v>7</v>
      </c>
      <c r="J42" t="s">
        <v>20</v>
      </c>
      <c r="K42" s="5">
        <v>6</v>
      </c>
      <c r="L42" t="s">
        <v>40</v>
      </c>
      <c r="M42">
        <f t="shared" si="1"/>
        <v>19</v>
      </c>
    </row>
    <row r="43" spans="1:16" x14ac:dyDescent="0.25">
      <c r="A43" t="s">
        <v>220</v>
      </c>
      <c r="B43" t="s">
        <v>221</v>
      </c>
      <c r="C43" t="s">
        <v>222</v>
      </c>
      <c r="D43" t="s">
        <v>223</v>
      </c>
      <c r="E43" t="s">
        <v>224</v>
      </c>
      <c r="G43" s="5">
        <v>4.5</v>
      </c>
      <c r="H43" t="s">
        <v>159</v>
      </c>
      <c r="I43" s="5">
        <v>3</v>
      </c>
      <c r="J43" t="s">
        <v>40</v>
      </c>
      <c r="K43" s="5">
        <v>4</v>
      </c>
      <c r="L43" t="s">
        <v>40</v>
      </c>
      <c r="M43">
        <f t="shared" si="1"/>
        <v>11.5</v>
      </c>
    </row>
    <row r="44" spans="1:16" x14ac:dyDescent="0.25">
      <c r="A44" t="s">
        <v>225</v>
      </c>
      <c r="B44" t="s">
        <v>226</v>
      </c>
      <c r="C44" t="s">
        <v>227</v>
      </c>
      <c r="D44" t="s">
        <v>228</v>
      </c>
      <c r="E44" t="s">
        <v>229</v>
      </c>
      <c r="G44" s="5">
        <v>5</v>
      </c>
      <c r="H44" t="s">
        <v>40</v>
      </c>
      <c r="I44" s="5">
        <v>7</v>
      </c>
      <c r="J44" t="s">
        <v>20</v>
      </c>
      <c r="K44" s="5">
        <v>3.5</v>
      </c>
      <c r="L44" t="s">
        <v>40</v>
      </c>
      <c r="M44">
        <f t="shared" si="1"/>
        <v>15.5</v>
      </c>
    </row>
    <row r="45" spans="1:16" x14ac:dyDescent="0.25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G45" s="5">
        <v>4</v>
      </c>
      <c r="H45" t="s">
        <v>20</v>
      </c>
      <c r="I45" s="5">
        <v>3</v>
      </c>
      <c r="J45" t="s">
        <v>29</v>
      </c>
      <c r="K45" s="5">
        <v>5</v>
      </c>
      <c r="L45" t="s">
        <v>21</v>
      </c>
      <c r="M45">
        <f t="shared" si="1"/>
        <v>12</v>
      </c>
    </row>
    <row r="46" spans="1:16" x14ac:dyDescent="0.25">
      <c r="A46" t="s">
        <v>235</v>
      </c>
      <c r="B46" t="s">
        <v>231</v>
      </c>
      <c r="C46" t="s">
        <v>236</v>
      </c>
      <c r="D46" t="s">
        <v>237</v>
      </c>
      <c r="E46" t="s">
        <v>238</v>
      </c>
      <c r="G46" s="39"/>
      <c r="H46" s="40"/>
      <c r="I46" s="39"/>
      <c r="J46" s="40"/>
      <c r="K46" s="39"/>
      <c r="L46" s="40"/>
      <c r="M46">
        <f t="shared" si="1"/>
        <v>0</v>
      </c>
    </row>
    <row r="47" spans="1:16" x14ac:dyDescent="0.25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G47" s="5">
        <v>3</v>
      </c>
      <c r="H47" t="s">
        <v>20</v>
      </c>
      <c r="I47" s="5">
        <v>7</v>
      </c>
      <c r="J47" t="s">
        <v>28</v>
      </c>
      <c r="K47" s="5">
        <v>4.5</v>
      </c>
      <c r="L47" t="s">
        <v>40</v>
      </c>
      <c r="M47">
        <f t="shared" si="1"/>
        <v>14.5</v>
      </c>
      <c r="P47" t="s">
        <v>22</v>
      </c>
    </row>
    <row r="48" spans="1:16" x14ac:dyDescent="0.25">
      <c r="A48" t="s">
        <v>244</v>
      </c>
      <c r="B48" t="s">
        <v>245</v>
      </c>
      <c r="C48" t="s">
        <v>246</v>
      </c>
      <c r="D48" t="s">
        <v>247</v>
      </c>
      <c r="E48" t="s">
        <v>248</v>
      </c>
      <c r="G48" s="14"/>
      <c r="H48" s="15"/>
      <c r="I48" s="14">
        <v>6</v>
      </c>
      <c r="J48" s="15" t="s">
        <v>20</v>
      </c>
      <c r="K48" s="14">
        <v>6</v>
      </c>
      <c r="L48" s="15" t="s">
        <v>40</v>
      </c>
      <c r="M48">
        <f t="shared" si="1"/>
        <v>12</v>
      </c>
    </row>
    <row r="49" spans="1:16" x14ac:dyDescent="0.25">
      <c r="A49" t="s">
        <v>249</v>
      </c>
      <c r="B49" t="s">
        <v>250</v>
      </c>
      <c r="C49" t="s">
        <v>251</v>
      </c>
      <c r="D49">
        <v>2857678</v>
      </c>
      <c r="E49" t="s">
        <v>252</v>
      </c>
      <c r="G49" s="31">
        <v>6</v>
      </c>
      <c r="H49" s="32" t="s">
        <v>40</v>
      </c>
      <c r="I49" s="31">
        <v>7</v>
      </c>
      <c r="J49" s="32" t="s">
        <v>21</v>
      </c>
      <c r="K49" s="31">
        <v>7</v>
      </c>
      <c r="L49" s="32" t="s">
        <v>21</v>
      </c>
      <c r="M49" s="29">
        <f t="shared" si="1"/>
        <v>20</v>
      </c>
      <c r="N49" s="10" t="s">
        <v>253</v>
      </c>
      <c r="O49" s="48"/>
      <c r="P49" t="s">
        <v>22</v>
      </c>
    </row>
    <row r="50" spans="1:16" x14ac:dyDescent="0.25">
      <c r="A50" t="s">
        <v>254</v>
      </c>
      <c r="B50" t="s">
        <v>255</v>
      </c>
      <c r="C50" t="s">
        <v>256</v>
      </c>
      <c r="D50" t="s">
        <v>257</v>
      </c>
      <c r="E50" t="s">
        <v>258</v>
      </c>
      <c r="G50" s="5">
        <v>3</v>
      </c>
      <c r="H50" t="s">
        <v>21</v>
      </c>
      <c r="I50" s="5">
        <v>3</v>
      </c>
      <c r="J50" t="s">
        <v>21</v>
      </c>
      <c r="K50" s="5">
        <v>4</v>
      </c>
      <c r="L50" t="s">
        <v>21</v>
      </c>
      <c r="M50">
        <f t="shared" si="1"/>
        <v>10</v>
      </c>
    </row>
    <row r="51" spans="1:16" x14ac:dyDescent="0.25">
      <c r="A51" t="s">
        <v>168</v>
      </c>
      <c r="B51" t="s">
        <v>259</v>
      </c>
      <c r="C51" t="s">
        <v>260</v>
      </c>
      <c r="D51" t="s">
        <v>261</v>
      </c>
      <c r="E51" t="s">
        <v>262</v>
      </c>
      <c r="G51" s="5">
        <v>3</v>
      </c>
      <c r="H51" t="s">
        <v>40</v>
      </c>
      <c r="I51" s="5">
        <v>2</v>
      </c>
      <c r="J51" t="s">
        <v>29</v>
      </c>
      <c r="K51" s="5">
        <v>2</v>
      </c>
      <c r="L51" t="s">
        <v>40</v>
      </c>
      <c r="M51">
        <f t="shared" si="1"/>
        <v>7</v>
      </c>
    </row>
    <row r="52" spans="1:16" x14ac:dyDescent="0.25">
      <c r="A52" t="s">
        <v>263</v>
      </c>
      <c r="B52" t="s">
        <v>264</v>
      </c>
      <c r="C52" t="s">
        <v>265</v>
      </c>
      <c r="D52">
        <v>2888820</v>
      </c>
      <c r="E52" t="s">
        <v>266</v>
      </c>
      <c r="G52" s="5">
        <v>4</v>
      </c>
      <c r="H52" t="s">
        <v>40</v>
      </c>
      <c r="I52" s="5">
        <v>7</v>
      </c>
      <c r="J52" t="s">
        <v>20</v>
      </c>
      <c r="K52" s="5">
        <v>6</v>
      </c>
      <c r="L52" t="s">
        <v>40</v>
      </c>
      <c r="M52">
        <f t="shared" si="1"/>
        <v>17</v>
      </c>
    </row>
    <row r="53" spans="1:16" x14ac:dyDescent="0.25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G53" s="5">
        <v>4</v>
      </c>
      <c r="H53" t="s">
        <v>28</v>
      </c>
      <c r="I53" s="5">
        <v>4</v>
      </c>
      <c r="J53" t="s">
        <v>29</v>
      </c>
      <c r="K53" s="5">
        <v>6</v>
      </c>
      <c r="L53" t="s">
        <v>21</v>
      </c>
      <c r="M53">
        <f t="shared" si="1"/>
        <v>14</v>
      </c>
    </row>
    <row r="54" spans="1:16" x14ac:dyDescent="0.25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G54" s="5">
        <v>2</v>
      </c>
      <c r="H54" t="s">
        <v>21</v>
      </c>
      <c r="I54" s="5">
        <v>3.5</v>
      </c>
      <c r="J54" t="s">
        <v>20</v>
      </c>
      <c r="K54" s="5">
        <v>6</v>
      </c>
      <c r="L54" t="s">
        <v>29</v>
      </c>
      <c r="M54">
        <f t="shared" si="1"/>
        <v>11.5</v>
      </c>
    </row>
    <row r="55" spans="1:16" x14ac:dyDescent="0.25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G55" s="5">
        <v>5</v>
      </c>
      <c r="H55" t="s">
        <v>29</v>
      </c>
      <c r="I55" s="5">
        <v>3</v>
      </c>
      <c r="J55" t="s">
        <v>29</v>
      </c>
      <c r="K55" s="5">
        <v>4.5</v>
      </c>
      <c r="L55" t="s">
        <v>40</v>
      </c>
      <c r="M55">
        <f t="shared" si="1"/>
        <v>12.5</v>
      </c>
    </row>
    <row r="56" spans="1:16" x14ac:dyDescent="0.25">
      <c r="A56" t="s">
        <v>282</v>
      </c>
      <c r="B56" t="s">
        <v>283</v>
      </c>
      <c r="C56" t="s">
        <v>284</v>
      </c>
      <c r="D56" t="s">
        <v>285</v>
      </c>
      <c r="E56" t="s">
        <v>286</v>
      </c>
      <c r="G56" s="5">
        <v>4</v>
      </c>
      <c r="H56" t="s">
        <v>21</v>
      </c>
      <c r="I56" s="5">
        <v>7</v>
      </c>
      <c r="J56" t="s">
        <v>20</v>
      </c>
      <c r="K56" s="5">
        <v>2.5</v>
      </c>
      <c r="L56" t="s">
        <v>28</v>
      </c>
      <c r="M56">
        <f t="shared" si="1"/>
        <v>13.5</v>
      </c>
    </row>
    <row r="57" spans="1:16" x14ac:dyDescent="0.25">
      <c r="A57" t="s">
        <v>287</v>
      </c>
      <c r="B57" t="s">
        <v>288</v>
      </c>
      <c r="C57" t="s">
        <v>289</v>
      </c>
      <c r="D57" t="s">
        <v>290</v>
      </c>
      <c r="E57" t="s">
        <v>291</v>
      </c>
      <c r="G57" s="5">
        <v>4</v>
      </c>
      <c r="H57" t="s">
        <v>40</v>
      </c>
      <c r="I57" s="5">
        <v>7</v>
      </c>
      <c r="J57" t="s">
        <v>20</v>
      </c>
      <c r="K57" s="5">
        <v>2</v>
      </c>
      <c r="L57" t="s">
        <v>21</v>
      </c>
      <c r="M57">
        <f t="shared" si="1"/>
        <v>13</v>
      </c>
    </row>
    <row r="58" spans="1:16" x14ac:dyDescent="0.25">
      <c r="A58" t="s">
        <v>292</v>
      </c>
      <c r="B58" t="s">
        <v>293</v>
      </c>
      <c r="C58" t="s">
        <v>294</v>
      </c>
      <c r="D58" t="s">
        <v>295</v>
      </c>
      <c r="E58" t="s">
        <v>296</v>
      </c>
      <c r="G58" s="5">
        <v>2</v>
      </c>
      <c r="H58" t="s">
        <v>21</v>
      </c>
      <c r="I58" s="5">
        <v>6.5</v>
      </c>
      <c r="J58" t="s">
        <v>40</v>
      </c>
      <c r="K58" s="5">
        <v>3</v>
      </c>
      <c r="M58">
        <f t="shared" si="1"/>
        <v>11.5</v>
      </c>
    </row>
    <row r="59" spans="1:16" x14ac:dyDescent="0.25">
      <c r="A59" s="12" t="s">
        <v>40</v>
      </c>
      <c r="B59" s="12" t="s">
        <v>297</v>
      </c>
      <c r="C59" s="12" t="s">
        <v>298</v>
      </c>
      <c r="D59" s="12">
        <v>3035565</v>
      </c>
      <c r="E59" s="12" t="s">
        <v>299</v>
      </c>
      <c r="G59" s="16"/>
      <c r="H59" s="17"/>
      <c r="I59" s="16"/>
      <c r="J59" s="17"/>
      <c r="K59" s="16"/>
      <c r="L59" s="17"/>
      <c r="M59">
        <f t="shared" si="1"/>
        <v>0</v>
      </c>
    </row>
    <row r="60" spans="1:16" x14ac:dyDescent="0.25">
      <c r="A60" t="s">
        <v>300</v>
      </c>
      <c r="B60" t="s">
        <v>301</v>
      </c>
      <c r="C60" t="s">
        <v>302</v>
      </c>
      <c r="D60" t="s">
        <v>303</v>
      </c>
      <c r="E60" t="s">
        <v>304</v>
      </c>
      <c r="G60" s="5">
        <v>6</v>
      </c>
      <c r="H60" t="s">
        <v>28</v>
      </c>
      <c r="I60" s="5">
        <v>2</v>
      </c>
      <c r="J60" t="s">
        <v>29</v>
      </c>
      <c r="K60" s="5">
        <v>5</v>
      </c>
      <c r="L60" t="s">
        <v>21</v>
      </c>
      <c r="M60">
        <f t="shared" si="1"/>
        <v>13</v>
      </c>
    </row>
    <row r="61" spans="1:16" x14ac:dyDescent="0.25">
      <c r="A61" t="s">
        <v>305</v>
      </c>
      <c r="B61" t="s">
        <v>306</v>
      </c>
      <c r="C61" t="s">
        <v>307</v>
      </c>
      <c r="D61" t="s">
        <v>308</v>
      </c>
      <c r="E61" t="s">
        <v>309</v>
      </c>
      <c r="G61" s="5">
        <v>3</v>
      </c>
      <c r="H61" t="s">
        <v>21</v>
      </c>
      <c r="I61" s="5">
        <v>3</v>
      </c>
      <c r="J61" t="s">
        <v>29</v>
      </c>
      <c r="K61" s="5">
        <v>5</v>
      </c>
      <c r="L61" t="s">
        <v>29</v>
      </c>
      <c r="M61">
        <f t="shared" si="1"/>
        <v>11</v>
      </c>
    </row>
    <row r="62" spans="1:16" x14ac:dyDescent="0.25">
      <c r="A62" t="s">
        <v>310</v>
      </c>
      <c r="B62" t="s">
        <v>311</v>
      </c>
      <c r="C62" t="s">
        <v>312</v>
      </c>
      <c r="D62" t="s">
        <v>313</v>
      </c>
      <c r="E62" t="s">
        <v>314</v>
      </c>
      <c r="G62" s="6">
        <v>6</v>
      </c>
      <c r="H62" s="7" t="s">
        <v>20</v>
      </c>
      <c r="I62" s="6">
        <v>7</v>
      </c>
      <c r="J62" s="7" t="s">
        <v>20</v>
      </c>
      <c r="K62" s="43">
        <v>6</v>
      </c>
      <c r="L62" s="44" t="s">
        <v>40</v>
      </c>
      <c r="M62">
        <f t="shared" si="1"/>
        <v>19</v>
      </c>
      <c r="N62" s="10" t="s">
        <v>253</v>
      </c>
      <c r="O62" s="48"/>
      <c r="P62" t="s">
        <v>22</v>
      </c>
    </row>
    <row r="63" spans="1:16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G63" s="5">
        <v>2</v>
      </c>
      <c r="H63" t="s">
        <v>21</v>
      </c>
      <c r="I63" s="5">
        <v>2</v>
      </c>
      <c r="J63" t="s">
        <v>29</v>
      </c>
      <c r="K63" s="5">
        <v>3</v>
      </c>
      <c r="L63" t="s">
        <v>29</v>
      </c>
      <c r="M63">
        <f t="shared" si="1"/>
        <v>7</v>
      </c>
    </row>
    <row r="64" spans="1:16" x14ac:dyDescent="0.25">
      <c r="A64" t="s">
        <v>320</v>
      </c>
      <c r="B64" t="s">
        <v>316</v>
      </c>
      <c r="C64" t="s">
        <v>321</v>
      </c>
      <c r="D64" t="s">
        <v>322</v>
      </c>
      <c r="E64" t="s">
        <v>323</v>
      </c>
      <c r="G64" s="37"/>
      <c r="H64" s="38"/>
      <c r="I64" s="37"/>
      <c r="J64" s="38"/>
      <c r="K64" s="37"/>
      <c r="L64" s="38"/>
      <c r="M64">
        <f t="shared" si="1"/>
        <v>0</v>
      </c>
    </row>
    <row r="65" spans="1:14" x14ac:dyDescent="0.2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G65" s="5">
        <v>2</v>
      </c>
      <c r="H65" t="s">
        <v>28</v>
      </c>
      <c r="I65" s="5">
        <v>3</v>
      </c>
      <c r="J65" t="s">
        <v>20</v>
      </c>
      <c r="K65" s="5">
        <v>2</v>
      </c>
      <c r="L65" t="s">
        <v>28</v>
      </c>
      <c r="M65">
        <f t="shared" si="1"/>
        <v>7</v>
      </c>
    </row>
    <row r="66" spans="1:14" x14ac:dyDescent="0.25">
      <c r="A66" t="s">
        <v>23</v>
      </c>
      <c r="B66" t="s">
        <v>329</v>
      </c>
      <c r="C66" t="s">
        <v>330</v>
      </c>
      <c r="D66" t="s">
        <v>331</v>
      </c>
      <c r="E66" t="s">
        <v>332</v>
      </c>
      <c r="G66" s="5">
        <v>5</v>
      </c>
      <c r="H66" t="s">
        <v>28</v>
      </c>
      <c r="I66" s="5">
        <v>3</v>
      </c>
      <c r="J66" t="s">
        <v>20</v>
      </c>
      <c r="K66" s="5">
        <v>5</v>
      </c>
      <c r="L66" t="s">
        <v>28</v>
      </c>
      <c r="M66">
        <f t="shared" ref="M66:M97" si="2">G66+I66+K66</f>
        <v>13</v>
      </c>
    </row>
    <row r="67" spans="1:14" x14ac:dyDescent="0.25">
      <c r="A67" t="s">
        <v>333</v>
      </c>
      <c r="B67" t="s">
        <v>334</v>
      </c>
      <c r="C67" t="s">
        <v>335</v>
      </c>
      <c r="D67" t="s">
        <v>336</v>
      </c>
      <c r="E67" t="s">
        <v>337</v>
      </c>
      <c r="G67" s="5">
        <v>4</v>
      </c>
      <c r="H67" t="s">
        <v>21</v>
      </c>
      <c r="I67" s="5">
        <v>3.5</v>
      </c>
      <c r="J67" t="s">
        <v>20</v>
      </c>
      <c r="K67" s="5">
        <v>4</v>
      </c>
      <c r="L67" t="s">
        <v>21</v>
      </c>
      <c r="M67">
        <f t="shared" si="2"/>
        <v>11.5</v>
      </c>
    </row>
    <row r="68" spans="1:14" x14ac:dyDescent="0.25">
      <c r="A68" t="s">
        <v>130</v>
      </c>
      <c r="B68" t="s">
        <v>338</v>
      </c>
      <c r="C68" t="s">
        <v>339</v>
      </c>
      <c r="D68" t="s">
        <v>340</v>
      </c>
      <c r="E68" t="s">
        <v>341</v>
      </c>
      <c r="G68" s="5">
        <v>4</v>
      </c>
      <c r="H68" t="s">
        <v>21</v>
      </c>
      <c r="I68" s="5">
        <v>7</v>
      </c>
      <c r="J68" t="s">
        <v>21</v>
      </c>
      <c r="K68" s="5">
        <v>3</v>
      </c>
      <c r="L68" t="s">
        <v>40</v>
      </c>
      <c r="M68">
        <f t="shared" si="2"/>
        <v>14</v>
      </c>
    </row>
    <row r="69" spans="1:14" x14ac:dyDescent="0.25">
      <c r="A69" t="s">
        <v>342</v>
      </c>
      <c r="B69" t="s">
        <v>343</v>
      </c>
      <c r="C69" t="s">
        <v>344</v>
      </c>
      <c r="D69" t="s">
        <v>345</v>
      </c>
      <c r="E69" t="s">
        <v>346</v>
      </c>
      <c r="G69" s="37"/>
      <c r="H69" s="38"/>
      <c r="I69" s="37"/>
      <c r="J69" s="38"/>
      <c r="K69" s="37"/>
      <c r="L69" s="38"/>
      <c r="M69">
        <f t="shared" si="2"/>
        <v>0</v>
      </c>
    </row>
    <row r="70" spans="1:14" x14ac:dyDescent="0.25">
      <c r="A70" t="s">
        <v>182</v>
      </c>
      <c r="B70" t="s">
        <v>347</v>
      </c>
      <c r="C70" t="s">
        <v>348</v>
      </c>
      <c r="D70" t="s">
        <v>349</v>
      </c>
      <c r="E70" t="s">
        <v>350</v>
      </c>
      <c r="G70" s="14">
        <v>1</v>
      </c>
      <c r="H70" s="15" t="s">
        <v>21</v>
      </c>
      <c r="I70" s="14">
        <v>1</v>
      </c>
      <c r="J70" s="15" t="s">
        <v>21</v>
      </c>
      <c r="K70" s="14"/>
      <c r="L70" s="15"/>
      <c r="M70">
        <f t="shared" si="2"/>
        <v>2</v>
      </c>
      <c r="N70" t="s">
        <v>674</v>
      </c>
    </row>
    <row r="71" spans="1:14" x14ac:dyDescent="0.25">
      <c r="A71" t="s">
        <v>351</v>
      </c>
      <c r="B71" t="s">
        <v>352</v>
      </c>
      <c r="C71" t="s">
        <v>353</v>
      </c>
      <c r="D71" t="s">
        <v>354</v>
      </c>
      <c r="E71" t="s">
        <v>355</v>
      </c>
      <c r="G71" s="14">
        <v>2</v>
      </c>
      <c r="H71" s="15" t="s">
        <v>29</v>
      </c>
      <c r="I71" s="14">
        <v>2</v>
      </c>
      <c r="J71" s="15" t="s">
        <v>29</v>
      </c>
      <c r="K71" s="14"/>
      <c r="L71" s="15"/>
      <c r="M71">
        <f t="shared" si="2"/>
        <v>4</v>
      </c>
    </row>
    <row r="72" spans="1:14" x14ac:dyDescent="0.25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G72" s="5">
        <v>4</v>
      </c>
      <c r="H72" t="s">
        <v>20</v>
      </c>
      <c r="I72" s="5">
        <v>3.5</v>
      </c>
      <c r="J72" t="s">
        <v>20</v>
      </c>
      <c r="K72" s="5">
        <v>2</v>
      </c>
      <c r="L72" t="s">
        <v>40</v>
      </c>
      <c r="M72">
        <f t="shared" si="2"/>
        <v>9.5</v>
      </c>
    </row>
    <row r="73" spans="1:14" x14ac:dyDescent="0.25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G73" s="5">
        <v>3</v>
      </c>
      <c r="H73" t="s">
        <v>40</v>
      </c>
      <c r="I73" s="5">
        <v>3</v>
      </c>
      <c r="J73" t="s">
        <v>40</v>
      </c>
      <c r="K73" s="5">
        <v>2</v>
      </c>
      <c r="L73" t="s">
        <v>40</v>
      </c>
      <c r="M73">
        <f t="shared" si="2"/>
        <v>8</v>
      </c>
    </row>
    <row r="74" spans="1:14" x14ac:dyDescent="0.25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G74" s="5">
        <v>2</v>
      </c>
      <c r="H74" t="s">
        <v>21</v>
      </c>
      <c r="I74" s="5">
        <v>2</v>
      </c>
      <c r="J74" t="s">
        <v>20</v>
      </c>
      <c r="K74" s="35">
        <v>4</v>
      </c>
      <c r="L74" s="36" t="s">
        <v>40</v>
      </c>
      <c r="M74">
        <f t="shared" si="2"/>
        <v>8</v>
      </c>
      <c r="N74" s="36" t="s">
        <v>671</v>
      </c>
    </row>
    <row r="75" spans="1:14" x14ac:dyDescent="0.25">
      <c r="A75" t="s">
        <v>371</v>
      </c>
      <c r="B75" t="s">
        <v>372</v>
      </c>
      <c r="C75" t="s">
        <v>373</v>
      </c>
      <c r="D75" t="s">
        <v>374</v>
      </c>
      <c r="E75" t="s">
        <v>375</v>
      </c>
      <c r="G75" s="37"/>
      <c r="H75" s="38"/>
      <c r="I75" s="37"/>
      <c r="J75" s="38"/>
      <c r="K75" s="37"/>
      <c r="L75" s="38"/>
      <c r="M75" s="38">
        <f t="shared" si="2"/>
        <v>0</v>
      </c>
    </row>
    <row r="76" spans="1:14" x14ac:dyDescent="0.25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G76" s="5">
        <v>3</v>
      </c>
      <c r="H76" t="s">
        <v>21</v>
      </c>
      <c r="I76" s="5">
        <v>3</v>
      </c>
      <c r="J76" t="s">
        <v>20</v>
      </c>
      <c r="K76" s="5">
        <v>3</v>
      </c>
      <c r="L76" s="3" t="s">
        <v>28</v>
      </c>
      <c r="M76">
        <f t="shared" si="2"/>
        <v>9</v>
      </c>
    </row>
    <row r="77" spans="1:14" x14ac:dyDescent="0.25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G77" s="5">
        <v>2</v>
      </c>
      <c r="H77" t="s">
        <v>21</v>
      </c>
      <c r="I77" s="5">
        <v>2</v>
      </c>
      <c r="J77" t="s">
        <v>20</v>
      </c>
      <c r="K77" s="5">
        <v>1</v>
      </c>
      <c r="L77" t="s">
        <v>28</v>
      </c>
      <c r="M77">
        <f t="shared" si="2"/>
        <v>5</v>
      </c>
    </row>
    <row r="78" spans="1:14" x14ac:dyDescent="0.25">
      <c r="A78" t="s">
        <v>71</v>
      </c>
      <c r="B78" t="s">
        <v>386</v>
      </c>
      <c r="C78" t="s">
        <v>387</v>
      </c>
      <c r="D78" t="s">
        <v>388</v>
      </c>
      <c r="E78" t="s">
        <v>389</v>
      </c>
      <c r="G78" s="5">
        <v>3</v>
      </c>
      <c r="H78" t="s">
        <v>21</v>
      </c>
      <c r="I78" s="5">
        <v>2</v>
      </c>
      <c r="J78" t="s">
        <v>20</v>
      </c>
      <c r="K78" s="5">
        <v>6</v>
      </c>
      <c r="L78" t="s">
        <v>21</v>
      </c>
      <c r="M78">
        <f t="shared" si="2"/>
        <v>11</v>
      </c>
    </row>
    <row r="79" spans="1:14" x14ac:dyDescent="0.25">
      <c r="A79" t="s">
        <v>390</v>
      </c>
      <c r="B79" t="s">
        <v>391</v>
      </c>
      <c r="C79" t="s">
        <v>392</v>
      </c>
      <c r="D79" t="s">
        <v>393</v>
      </c>
      <c r="E79" t="s">
        <v>394</v>
      </c>
      <c r="G79" s="37"/>
      <c r="H79" s="38"/>
      <c r="I79" s="37"/>
      <c r="J79" s="38"/>
      <c r="K79" s="37"/>
      <c r="L79" s="38"/>
      <c r="M79" s="38">
        <f t="shared" si="2"/>
        <v>0</v>
      </c>
    </row>
    <row r="80" spans="1:14" x14ac:dyDescent="0.25">
      <c r="A80" t="s">
        <v>395</v>
      </c>
      <c r="B80" t="s">
        <v>396</v>
      </c>
      <c r="C80" t="s">
        <v>397</v>
      </c>
      <c r="D80" t="s">
        <v>398</v>
      </c>
      <c r="E80" t="s">
        <v>399</v>
      </c>
      <c r="G80" s="5">
        <v>3</v>
      </c>
      <c r="H80" t="s">
        <v>21</v>
      </c>
      <c r="I80" s="5">
        <v>3.5</v>
      </c>
      <c r="J80" t="s">
        <v>20</v>
      </c>
      <c r="K80" s="5">
        <v>2</v>
      </c>
      <c r="L80" t="s">
        <v>28</v>
      </c>
      <c r="M80">
        <f t="shared" si="2"/>
        <v>8.5</v>
      </c>
    </row>
    <row r="81" spans="1:15" x14ac:dyDescent="0.25">
      <c r="A81" t="s">
        <v>400</v>
      </c>
      <c r="B81" t="s">
        <v>401</v>
      </c>
      <c r="C81" t="s">
        <v>402</v>
      </c>
      <c r="D81" t="s">
        <v>403</v>
      </c>
      <c r="E81" t="s">
        <v>404</v>
      </c>
      <c r="G81" s="5">
        <v>3</v>
      </c>
      <c r="H81" t="s">
        <v>21</v>
      </c>
      <c r="I81" s="5">
        <v>3</v>
      </c>
      <c r="J81" t="s">
        <v>29</v>
      </c>
      <c r="K81" s="5">
        <v>3</v>
      </c>
      <c r="L81" t="s">
        <v>40</v>
      </c>
      <c r="M81">
        <f t="shared" si="2"/>
        <v>9</v>
      </c>
    </row>
    <row r="82" spans="1:15" x14ac:dyDescent="0.25">
      <c r="A82" t="s">
        <v>405</v>
      </c>
      <c r="B82" t="s">
        <v>406</v>
      </c>
      <c r="C82" t="s">
        <v>407</v>
      </c>
      <c r="D82" t="s">
        <v>408</v>
      </c>
      <c r="E82" t="s">
        <v>409</v>
      </c>
      <c r="G82" s="5">
        <v>3</v>
      </c>
      <c r="H82" t="s">
        <v>21</v>
      </c>
      <c r="I82" s="5">
        <v>2</v>
      </c>
      <c r="J82" t="s">
        <v>21</v>
      </c>
      <c r="K82" s="5">
        <v>2</v>
      </c>
      <c r="L82" t="s">
        <v>40</v>
      </c>
      <c r="M82">
        <f t="shared" si="2"/>
        <v>7</v>
      </c>
    </row>
    <row r="83" spans="1:15" x14ac:dyDescent="0.25">
      <c r="A83" t="s">
        <v>410</v>
      </c>
      <c r="B83" t="s">
        <v>411</v>
      </c>
      <c r="C83" t="s">
        <v>412</v>
      </c>
      <c r="D83" t="s">
        <v>413</v>
      </c>
      <c r="E83" t="s">
        <v>414</v>
      </c>
      <c r="G83" s="5">
        <v>4</v>
      </c>
      <c r="H83" t="s">
        <v>20</v>
      </c>
      <c r="I83" s="5">
        <v>4</v>
      </c>
      <c r="J83" t="s">
        <v>40</v>
      </c>
      <c r="M83">
        <f t="shared" si="2"/>
        <v>8</v>
      </c>
    </row>
    <row r="84" spans="1:15" x14ac:dyDescent="0.25">
      <c r="A84" t="s">
        <v>415</v>
      </c>
      <c r="B84" t="s">
        <v>416</v>
      </c>
      <c r="C84" t="s">
        <v>417</v>
      </c>
      <c r="D84" t="s">
        <v>418</v>
      </c>
      <c r="E84" t="s">
        <v>419</v>
      </c>
      <c r="G84" s="8">
        <v>5</v>
      </c>
      <c r="H84" s="9" t="s">
        <v>40</v>
      </c>
      <c r="I84" s="8">
        <v>7</v>
      </c>
      <c r="J84" s="9" t="s">
        <v>20</v>
      </c>
      <c r="K84" s="8">
        <v>7</v>
      </c>
      <c r="L84" s="9" t="s">
        <v>20</v>
      </c>
      <c r="M84" s="29">
        <f t="shared" si="2"/>
        <v>19</v>
      </c>
      <c r="N84" s="21"/>
      <c r="O84" s="49"/>
    </row>
    <row r="85" spans="1:15" x14ac:dyDescent="0.25">
      <c r="A85" t="s">
        <v>420</v>
      </c>
      <c r="B85" t="s">
        <v>421</v>
      </c>
      <c r="C85" t="s">
        <v>422</v>
      </c>
      <c r="D85" t="s">
        <v>423</v>
      </c>
      <c r="E85" t="s">
        <v>424</v>
      </c>
      <c r="G85" s="5">
        <v>4.5</v>
      </c>
      <c r="H85" t="s">
        <v>29</v>
      </c>
      <c r="I85" s="5">
        <v>5</v>
      </c>
      <c r="J85" t="s">
        <v>29</v>
      </c>
      <c r="K85" s="5">
        <v>3</v>
      </c>
      <c r="L85" t="s">
        <v>28</v>
      </c>
      <c r="M85">
        <f t="shared" si="2"/>
        <v>12.5</v>
      </c>
    </row>
    <row r="86" spans="1:15" x14ac:dyDescent="0.25">
      <c r="A86" t="s">
        <v>425</v>
      </c>
      <c r="B86" t="s">
        <v>426</v>
      </c>
      <c r="C86" t="s">
        <v>427</v>
      </c>
      <c r="D86" t="s">
        <v>428</v>
      </c>
      <c r="E86" t="s">
        <v>429</v>
      </c>
      <c r="G86" s="5">
        <v>6</v>
      </c>
      <c r="H86" t="s">
        <v>28</v>
      </c>
      <c r="I86" s="5">
        <v>4</v>
      </c>
      <c r="J86" t="s">
        <v>29</v>
      </c>
      <c r="K86" s="5">
        <v>3.5</v>
      </c>
      <c r="L86" t="s">
        <v>40</v>
      </c>
      <c r="M86">
        <f t="shared" si="2"/>
        <v>13.5</v>
      </c>
    </row>
    <row r="87" spans="1:15" x14ac:dyDescent="0.25">
      <c r="A87" t="s">
        <v>430</v>
      </c>
      <c r="B87" t="s">
        <v>431</v>
      </c>
      <c r="C87" t="s">
        <v>432</v>
      </c>
      <c r="D87" t="s">
        <v>433</v>
      </c>
      <c r="E87" t="s">
        <v>434</v>
      </c>
      <c r="G87" s="5">
        <v>2</v>
      </c>
      <c r="H87" t="s">
        <v>21</v>
      </c>
      <c r="I87" s="5">
        <v>2</v>
      </c>
      <c r="J87" t="s">
        <v>21</v>
      </c>
      <c r="K87" s="5">
        <v>4.5</v>
      </c>
      <c r="L87" t="s">
        <v>40</v>
      </c>
      <c r="M87">
        <f t="shared" si="2"/>
        <v>8.5</v>
      </c>
    </row>
    <row r="88" spans="1:15" x14ac:dyDescent="0.25">
      <c r="A88" t="s">
        <v>168</v>
      </c>
      <c r="B88" t="s">
        <v>435</v>
      </c>
      <c r="C88" t="s">
        <v>436</v>
      </c>
      <c r="D88" t="s">
        <v>437</v>
      </c>
      <c r="E88" t="s">
        <v>438</v>
      </c>
      <c r="G88" s="5">
        <v>4</v>
      </c>
      <c r="H88" t="s">
        <v>20</v>
      </c>
      <c r="I88" s="5">
        <v>6</v>
      </c>
      <c r="J88" t="s">
        <v>21</v>
      </c>
      <c r="K88" s="5">
        <v>3</v>
      </c>
      <c r="L88" t="s">
        <v>40</v>
      </c>
      <c r="M88">
        <f t="shared" si="2"/>
        <v>13</v>
      </c>
    </row>
    <row r="89" spans="1:15" x14ac:dyDescent="0.25">
      <c r="A89" t="s">
        <v>71</v>
      </c>
      <c r="B89" t="s">
        <v>439</v>
      </c>
      <c r="C89" t="s">
        <v>440</v>
      </c>
      <c r="D89" t="s">
        <v>441</v>
      </c>
      <c r="E89" t="s">
        <v>442</v>
      </c>
      <c r="G89" s="5">
        <v>2</v>
      </c>
      <c r="H89" t="s">
        <v>21</v>
      </c>
      <c r="I89" s="5">
        <v>3</v>
      </c>
      <c r="J89" t="s">
        <v>20</v>
      </c>
      <c r="K89" s="5">
        <v>2</v>
      </c>
      <c r="L89" t="s">
        <v>28</v>
      </c>
      <c r="M89">
        <f t="shared" si="2"/>
        <v>7</v>
      </c>
    </row>
    <row r="90" spans="1:15" x14ac:dyDescent="0.25">
      <c r="A90" t="s">
        <v>192</v>
      </c>
      <c r="B90" t="s">
        <v>443</v>
      </c>
      <c r="C90" t="s">
        <v>444</v>
      </c>
      <c r="D90" t="s">
        <v>445</v>
      </c>
      <c r="E90" t="s">
        <v>446</v>
      </c>
      <c r="G90" s="5">
        <v>4.5</v>
      </c>
      <c r="H90" t="s">
        <v>20</v>
      </c>
      <c r="I90" s="5">
        <v>3.5</v>
      </c>
      <c r="J90" t="s">
        <v>20</v>
      </c>
      <c r="K90" s="5">
        <v>2</v>
      </c>
      <c r="L90" t="s">
        <v>40</v>
      </c>
      <c r="M90">
        <f t="shared" si="2"/>
        <v>10</v>
      </c>
    </row>
    <row r="91" spans="1:15" x14ac:dyDescent="0.25">
      <c r="A91" t="s">
        <v>390</v>
      </c>
      <c r="B91" t="s">
        <v>447</v>
      </c>
      <c r="C91" t="s">
        <v>448</v>
      </c>
      <c r="D91" t="s">
        <v>449</v>
      </c>
      <c r="E91" t="s">
        <v>450</v>
      </c>
      <c r="G91" s="14"/>
      <c r="H91" s="15"/>
      <c r="I91" s="14">
        <v>2</v>
      </c>
      <c r="J91" s="15" t="s">
        <v>29</v>
      </c>
      <c r="K91" s="14"/>
      <c r="L91" s="15"/>
      <c r="M91">
        <f t="shared" si="2"/>
        <v>2</v>
      </c>
    </row>
    <row r="92" spans="1:15" x14ac:dyDescent="0.25">
      <c r="A92" t="s">
        <v>451</v>
      </c>
      <c r="B92" t="s">
        <v>452</v>
      </c>
      <c r="C92" t="s">
        <v>453</v>
      </c>
      <c r="D92" t="s">
        <v>454</v>
      </c>
      <c r="E92" t="s">
        <v>455</v>
      </c>
      <c r="G92" s="5">
        <v>2</v>
      </c>
      <c r="H92" t="s">
        <v>21</v>
      </c>
      <c r="I92" s="5">
        <v>2</v>
      </c>
      <c r="J92" t="s">
        <v>29</v>
      </c>
      <c r="K92" s="5">
        <v>2</v>
      </c>
      <c r="L92" t="s">
        <v>28</v>
      </c>
      <c r="M92">
        <f t="shared" si="2"/>
        <v>6</v>
      </c>
    </row>
    <row r="93" spans="1:15" x14ac:dyDescent="0.25">
      <c r="A93" t="s">
        <v>456</v>
      </c>
      <c r="B93" t="s">
        <v>457</v>
      </c>
      <c r="C93" t="s">
        <v>458</v>
      </c>
      <c r="D93" t="s">
        <v>459</v>
      </c>
      <c r="E93" t="s">
        <v>460</v>
      </c>
      <c r="G93" s="5">
        <v>3</v>
      </c>
      <c r="H93" s="3" t="s">
        <v>40</v>
      </c>
      <c r="I93" s="5">
        <v>5</v>
      </c>
      <c r="J93" t="s">
        <v>28</v>
      </c>
      <c r="M93">
        <f t="shared" si="2"/>
        <v>8</v>
      </c>
    </row>
    <row r="94" spans="1:15" x14ac:dyDescent="0.25">
      <c r="A94" s="12" t="s">
        <v>21</v>
      </c>
      <c r="B94" s="12" t="s">
        <v>461</v>
      </c>
      <c r="C94" s="12" t="s">
        <v>462</v>
      </c>
      <c r="D94" s="12">
        <v>334275</v>
      </c>
      <c r="E94" s="12" t="s">
        <v>463</v>
      </c>
      <c r="G94" s="39"/>
      <c r="H94" s="40"/>
      <c r="I94" s="39"/>
      <c r="J94" s="40"/>
      <c r="K94" s="39"/>
      <c r="L94" s="40"/>
      <c r="M94">
        <f t="shared" si="2"/>
        <v>0</v>
      </c>
    </row>
    <row r="95" spans="1:15" x14ac:dyDescent="0.25">
      <c r="A95" t="s">
        <v>464</v>
      </c>
      <c r="B95" t="s">
        <v>465</v>
      </c>
      <c r="C95" t="s">
        <v>466</v>
      </c>
      <c r="D95">
        <v>2959328</v>
      </c>
      <c r="E95" t="s">
        <v>467</v>
      </c>
      <c r="G95" s="5">
        <v>2</v>
      </c>
      <c r="H95" t="s">
        <v>21</v>
      </c>
      <c r="I95" s="5">
        <v>2</v>
      </c>
      <c r="J95" t="s">
        <v>21</v>
      </c>
      <c r="K95" s="5">
        <v>4</v>
      </c>
      <c r="L95" t="s">
        <v>40</v>
      </c>
      <c r="M95">
        <f t="shared" si="2"/>
        <v>8</v>
      </c>
    </row>
    <row r="96" spans="1:15" x14ac:dyDescent="0.25">
      <c r="A96" t="s">
        <v>468</v>
      </c>
      <c r="B96" t="s">
        <v>468</v>
      </c>
      <c r="C96" t="s">
        <v>469</v>
      </c>
      <c r="D96" t="s">
        <v>470</v>
      </c>
      <c r="E96" t="s">
        <v>471</v>
      </c>
      <c r="G96" s="5">
        <v>3</v>
      </c>
      <c r="H96" t="s">
        <v>40</v>
      </c>
      <c r="I96" s="5">
        <v>4.5</v>
      </c>
      <c r="J96" t="s">
        <v>40</v>
      </c>
      <c r="K96" s="5">
        <v>6</v>
      </c>
      <c r="L96" t="s">
        <v>40</v>
      </c>
      <c r="M96">
        <f t="shared" si="2"/>
        <v>13.5</v>
      </c>
    </row>
    <row r="97" spans="1:16" x14ac:dyDescent="0.25">
      <c r="A97" t="s">
        <v>472</v>
      </c>
      <c r="B97" t="s">
        <v>473</v>
      </c>
      <c r="C97" t="s">
        <v>474</v>
      </c>
      <c r="D97" t="s">
        <v>475</v>
      </c>
      <c r="E97" t="s">
        <v>476</v>
      </c>
      <c r="G97" s="5">
        <v>5</v>
      </c>
      <c r="H97" t="s">
        <v>28</v>
      </c>
      <c r="I97" s="5">
        <v>3</v>
      </c>
      <c r="J97" t="s">
        <v>28</v>
      </c>
      <c r="K97" s="5">
        <v>5</v>
      </c>
      <c r="L97" t="s">
        <v>28</v>
      </c>
      <c r="M97">
        <f t="shared" si="2"/>
        <v>13</v>
      </c>
    </row>
    <row r="98" spans="1:16" x14ac:dyDescent="0.25">
      <c r="A98" t="s">
        <v>477</v>
      </c>
      <c r="B98" t="s">
        <v>478</v>
      </c>
      <c r="C98" t="s">
        <v>479</v>
      </c>
      <c r="D98">
        <v>2462223</v>
      </c>
      <c r="E98" t="s">
        <v>480</v>
      </c>
      <c r="G98" s="30">
        <v>6</v>
      </c>
      <c r="H98" s="29" t="s">
        <v>40</v>
      </c>
      <c r="I98" s="30">
        <v>7</v>
      </c>
      <c r="J98" s="29" t="s">
        <v>21</v>
      </c>
      <c r="K98" s="30">
        <v>7</v>
      </c>
      <c r="L98" s="29" t="s">
        <v>21</v>
      </c>
      <c r="M98" s="29">
        <f t="shared" ref="M98:M129" si="3">G98+I98+K98</f>
        <v>20</v>
      </c>
      <c r="N98" s="10" t="s">
        <v>481</v>
      </c>
      <c r="O98" s="48"/>
    </row>
    <row r="99" spans="1:16" x14ac:dyDescent="0.25">
      <c r="A99" t="s">
        <v>482</v>
      </c>
      <c r="B99" t="s">
        <v>483</v>
      </c>
      <c r="C99" t="s">
        <v>484</v>
      </c>
      <c r="D99" t="s">
        <v>485</v>
      </c>
      <c r="E99" t="s">
        <v>486</v>
      </c>
      <c r="G99" s="5">
        <v>6</v>
      </c>
      <c r="H99" t="s">
        <v>40</v>
      </c>
      <c r="I99" s="5">
        <v>7</v>
      </c>
      <c r="J99" t="s">
        <v>40</v>
      </c>
      <c r="K99" s="5">
        <v>3</v>
      </c>
      <c r="L99" t="s">
        <v>40</v>
      </c>
      <c r="M99">
        <f t="shared" si="3"/>
        <v>16</v>
      </c>
      <c r="P99" t="s">
        <v>22</v>
      </c>
    </row>
    <row r="100" spans="1:16" x14ac:dyDescent="0.25">
      <c r="A100" t="s">
        <v>130</v>
      </c>
      <c r="B100" t="s">
        <v>487</v>
      </c>
      <c r="C100" t="s">
        <v>488</v>
      </c>
      <c r="D100" t="s">
        <v>489</v>
      </c>
      <c r="E100" t="s">
        <v>490</v>
      </c>
      <c r="G100" s="5">
        <v>4</v>
      </c>
      <c r="H100" t="s">
        <v>21</v>
      </c>
      <c r="I100" s="5">
        <v>7</v>
      </c>
      <c r="J100" t="s">
        <v>21</v>
      </c>
      <c r="K100" s="33">
        <v>6</v>
      </c>
      <c r="L100" s="34" t="s">
        <v>28</v>
      </c>
      <c r="M100">
        <f t="shared" si="3"/>
        <v>17</v>
      </c>
      <c r="N100" s="34" t="s">
        <v>672</v>
      </c>
      <c r="P100" t="s">
        <v>22</v>
      </c>
    </row>
    <row r="101" spans="1:16" x14ac:dyDescent="0.25">
      <c r="A101" t="s">
        <v>491</v>
      </c>
      <c r="B101" t="s">
        <v>492</v>
      </c>
      <c r="C101" t="s">
        <v>493</v>
      </c>
      <c r="D101" t="s">
        <v>494</v>
      </c>
      <c r="E101" t="s">
        <v>495</v>
      </c>
      <c r="G101" s="5">
        <v>2</v>
      </c>
      <c r="H101" t="s">
        <v>21</v>
      </c>
      <c r="I101" s="5">
        <v>7</v>
      </c>
      <c r="J101" t="s">
        <v>29</v>
      </c>
      <c r="K101" s="5">
        <v>5</v>
      </c>
      <c r="L101" t="s">
        <v>40</v>
      </c>
      <c r="M101">
        <f t="shared" si="3"/>
        <v>14</v>
      </c>
    </row>
    <row r="102" spans="1:16" x14ac:dyDescent="0.25">
      <c r="A102" t="s">
        <v>496</v>
      </c>
      <c r="B102" t="s">
        <v>497</v>
      </c>
      <c r="C102" t="s">
        <v>498</v>
      </c>
      <c r="D102" t="s">
        <v>499</v>
      </c>
      <c r="E102" t="s">
        <v>500</v>
      </c>
      <c r="G102" s="5">
        <v>4</v>
      </c>
      <c r="H102" t="s">
        <v>40</v>
      </c>
      <c r="I102" s="5">
        <v>5</v>
      </c>
      <c r="J102" t="s">
        <v>28</v>
      </c>
      <c r="K102" s="5">
        <v>2</v>
      </c>
      <c r="L102" t="s">
        <v>28</v>
      </c>
      <c r="M102">
        <f t="shared" si="3"/>
        <v>11</v>
      </c>
    </row>
    <row r="103" spans="1:16" x14ac:dyDescent="0.25">
      <c r="A103" t="s">
        <v>501</v>
      </c>
      <c r="B103" t="s">
        <v>502</v>
      </c>
      <c r="C103" t="s">
        <v>503</v>
      </c>
      <c r="D103" t="s">
        <v>504</v>
      </c>
      <c r="E103" t="s">
        <v>505</v>
      </c>
      <c r="G103" s="5">
        <v>2</v>
      </c>
      <c r="H103" t="s">
        <v>21</v>
      </c>
      <c r="I103" s="5">
        <v>7</v>
      </c>
      <c r="J103" t="s">
        <v>20</v>
      </c>
      <c r="K103" s="5">
        <v>3</v>
      </c>
      <c r="L103" t="s">
        <v>40</v>
      </c>
      <c r="M103">
        <f t="shared" si="3"/>
        <v>12</v>
      </c>
    </row>
    <row r="104" spans="1:16" x14ac:dyDescent="0.25">
      <c r="A104" s="12" t="s">
        <v>506</v>
      </c>
      <c r="B104" s="12" t="s">
        <v>507</v>
      </c>
      <c r="C104" s="12" t="s">
        <v>508</v>
      </c>
      <c r="D104" s="12">
        <v>2787095</v>
      </c>
      <c r="E104" s="12" t="s">
        <v>509</v>
      </c>
      <c r="G104" s="39"/>
      <c r="H104" s="40"/>
      <c r="I104" s="39"/>
      <c r="J104" s="40"/>
      <c r="K104" s="39"/>
      <c r="L104" s="40"/>
      <c r="M104">
        <f t="shared" si="3"/>
        <v>0</v>
      </c>
    </row>
    <row r="105" spans="1:16" x14ac:dyDescent="0.25">
      <c r="A105" t="s">
        <v>510</v>
      </c>
      <c r="B105" t="s">
        <v>511</v>
      </c>
      <c r="C105" t="s">
        <v>512</v>
      </c>
      <c r="D105" t="s">
        <v>513</v>
      </c>
      <c r="E105" t="s">
        <v>514</v>
      </c>
      <c r="G105" s="5">
        <v>4</v>
      </c>
      <c r="H105" t="s">
        <v>29</v>
      </c>
      <c r="I105" s="5">
        <v>2</v>
      </c>
      <c r="J105" t="s">
        <v>21</v>
      </c>
      <c r="K105" s="5">
        <v>2</v>
      </c>
      <c r="L105" t="s">
        <v>28</v>
      </c>
      <c r="M105">
        <f t="shared" si="3"/>
        <v>8</v>
      </c>
    </row>
    <row r="106" spans="1:16" x14ac:dyDescent="0.25">
      <c r="A106" t="s">
        <v>111</v>
      </c>
      <c r="B106" t="s">
        <v>515</v>
      </c>
      <c r="C106" t="s">
        <v>516</v>
      </c>
      <c r="D106" t="s">
        <v>517</v>
      </c>
      <c r="E106" t="s">
        <v>518</v>
      </c>
      <c r="G106" s="5">
        <v>3</v>
      </c>
      <c r="H106" t="s">
        <v>28</v>
      </c>
      <c r="I106" s="5">
        <v>4</v>
      </c>
      <c r="J106" t="s">
        <v>20</v>
      </c>
      <c r="K106" s="5">
        <v>1</v>
      </c>
      <c r="L106" t="s">
        <v>28</v>
      </c>
      <c r="M106">
        <f t="shared" si="3"/>
        <v>8</v>
      </c>
    </row>
    <row r="107" spans="1:16" x14ac:dyDescent="0.25">
      <c r="A107" t="s">
        <v>519</v>
      </c>
      <c r="B107" t="s">
        <v>520</v>
      </c>
      <c r="C107" t="s">
        <v>521</v>
      </c>
      <c r="D107" t="s">
        <v>522</v>
      </c>
      <c r="E107" t="s">
        <v>523</v>
      </c>
      <c r="G107" s="5">
        <v>2</v>
      </c>
      <c r="H107" t="s">
        <v>21</v>
      </c>
      <c r="I107" s="5">
        <v>2</v>
      </c>
      <c r="J107" t="s">
        <v>29</v>
      </c>
      <c r="K107" s="5">
        <v>4</v>
      </c>
      <c r="L107" t="s">
        <v>21</v>
      </c>
      <c r="M107">
        <f t="shared" si="3"/>
        <v>8</v>
      </c>
    </row>
    <row r="108" spans="1:16" x14ac:dyDescent="0.25">
      <c r="A108" t="s">
        <v>524</v>
      </c>
      <c r="B108" t="s">
        <v>525</v>
      </c>
      <c r="C108" t="s">
        <v>526</v>
      </c>
      <c r="D108" t="s">
        <v>527</v>
      </c>
      <c r="E108" t="s">
        <v>528</v>
      </c>
      <c r="G108" s="14">
        <v>2</v>
      </c>
      <c r="H108" s="15" t="s">
        <v>21</v>
      </c>
      <c r="I108" s="14"/>
      <c r="J108" s="15"/>
      <c r="K108" s="14">
        <v>4</v>
      </c>
      <c r="L108" s="15" t="s">
        <v>21</v>
      </c>
      <c r="M108">
        <f t="shared" si="3"/>
        <v>6</v>
      </c>
    </row>
    <row r="109" spans="1:16" x14ac:dyDescent="0.25">
      <c r="A109" t="s">
        <v>529</v>
      </c>
      <c r="B109" t="s">
        <v>530</v>
      </c>
      <c r="C109" t="s">
        <v>531</v>
      </c>
      <c r="D109" t="s">
        <v>532</v>
      </c>
      <c r="E109" t="s">
        <v>533</v>
      </c>
      <c r="G109" s="5">
        <v>6</v>
      </c>
      <c r="H109" s="18" t="s">
        <v>21</v>
      </c>
      <c r="I109" s="33">
        <v>4</v>
      </c>
      <c r="J109" s="34" t="s">
        <v>20</v>
      </c>
      <c r="K109" s="5">
        <v>4</v>
      </c>
      <c r="L109" t="s">
        <v>21</v>
      </c>
      <c r="M109">
        <f t="shared" si="3"/>
        <v>14</v>
      </c>
      <c r="N109" s="34" t="s">
        <v>673</v>
      </c>
    </row>
    <row r="110" spans="1:16" x14ac:dyDescent="0.25">
      <c r="A110" t="s">
        <v>534</v>
      </c>
      <c r="B110" t="s">
        <v>192</v>
      </c>
      <c r="C110" t="s">
        <v>535</v>
      </c>
      <c r="D110" t="s">
        <v>536</v>
      </c>
      <c r="E110" t="s">
        <v>537</v>
      </c>
      <c r="G110" s="5">
        <v>2</v>
      </c>
      <c r="H110" t="s">
        <v>21</v>
      </c>
      <c r="I110" s="5">
        <v>2</v>
      </c>
      <c r="J110" t="s">
        <v>29</v>
      </c>
      <c r="M110">
        <f t="shared" si="3"/>
        <v>4</v>
      </c>
    </row>
    <row r="111" spans="1:16" x14ac:dyDescent="0.25">
      <c r="A111" t="s">
        <v>76</v>
      </c>
      <c r="B111" t="s">
        <v>192</v>
      </c>
      <c r="C111" t="s">
        <v>538</v>
      </c>
      <c r="D111" t="s">
        <v>539</v>
      </c>
      <c r="E111" t="s">
        <v>540</v>
      </c>
      <c r="G111" s="5">
        <v>3</v>
      </c>
      <c r="H111" t="s">
        <v>21</v>
      </c>
      <c r="I111" s="5">
        <v>2</v>
      </c>
      <c r="J111" t="s">
        <v>29</v>
      </c>
      <c r="K111" s="5">
        <v>5</v>
      </c>
      <c r="L111" t="s">
        <v>28</v>
      </c>
      <c r="M111">
        <f t="shared" si="3"/>
        <v>10</v>
      </c>
    </row>
    <row r="112" spans="1:16" x14ac:dyDescent="0.25">
      <c r="A112" t="s">
        <v>541</v>
      </c>
      <c r="B112" t="s">
        <v>542</v>
      </c>
      <c r="C112" t="s">
        <v>543</v>
      </c>
      <c r="D112" t="s">
        <v>544</v>
      </c>
      <c r="E112" t="s">
        <v>545</v>
      </c>
      <c r="G112" s="5">
        <v>4</v>
      </c>
      <c r="H112" t="s">
        <v>29</v>
      </c>
      <c r="I112" s="5">
        <v>6</v>
      </c>
      <c r="J112" t="s">
        <v>20</v>
      </c>
      <c r="K112" s="5">
        <v>2</v>
      </c>
      <c r="L112" t="s">
        <v>28</v>
      </c>
      <c r="M112">
        <f t="shared" si="3"/>
        <v>12</v>
      </c>
    </row>
    <row r="113" spans="1:16" x14ac:dyDescent="0.25">
      <c r="A113" t="s">
        <v>546</v>
      </c>
      <c r="B113" t="s">
        <v>547</v>
      </c>
      <c r="C113" t="s">
        <v>548</v>
      </c>
      <c r="D113" t="s">
        <v>549</v>
      </c>
      <c r="E113" t="s">
        <v>550</v>
      </c>
      <c r="G113" s="5">
        <v>3</v>
      </c>
      <c r="H113" t="s">
        <v>40</v>
      </c>
      <c r="I113" s="5">
        <v>2</v>
      </c>
      <c r="J113" t="s">
        <v>29</v>
      </c>
      <c r="M113">
        <f t="shared" si="3"/>
        <v>5</v>
      </c>
    </row>
    <row r="114" spans="1:16" x14ac:dyDescent="0.25">
      <c r="A114" t="s">
        <v>551</v>
      </c>
      <c r="B114" t="s">
        <v>552</v>
      </c>
      <c r="C114" t="s">
        <v>553</v>
      </c>
      <c r="D114" t="s">
        <v>554</v>
      </c>
      <c r="E114" t="s">
        <v>555</v>
      </c>
      <c r="G114" s="5">
        <v>3</v>
      </c>
      <c r="H114" t="s">
        <v>21</v>
      </c>
      <c r="I114" s="5">
        <v>4</v>
      </c>
      <c r="J114" t="s">
        <v>29</v>
      </c>
      <c r="M114">
        <f t="shared" si="3"/>
        <v>7</v>
      </c>
    </row>
    <row r="115" spans="1:16" x14ac:dyDescent="0.25">
      <c r="A115" t="s">
        <v>556</v>
      </c>
      <c r="B115" t="s">
        <v>557</v>
      </c>
      <c r="C115" t="s">
        <v>558</v>
      </c>
      <c r="D115">
        <v>2898166</v>
      </c>
      <c r="E115" t="s">
        <v>559</v>
      </c>
      <c r="G115" s="5">
        <v>2</v>
      </c>
      <c r="H115" t="s">
        <v>21</v>
      </c>
      <c r="I115" s="5">
        <v>3</v>
      </c>
      <c r="J115" t="s">
        <v>21</v>
      </c>
      <c r="K115" s="5">
        <v>1</v>
      </c>
      <c r="L115" t="s">
        <v>28</v>
      </c>
      <c r="M115">
        <f t="shared" si="3"/>
        <v>6</v>
      </c>
    </row>
    <row r="116" spans="1:16" x14ac:dyDescent="0.25">
      <c r="A116" t="s">
        <v>560</v>
      </c>
      <c r="B116" t="s">
        <v>456</v>
      </c>
      <c r="C116" t="s">
        <v>561</v>
      </c>
      <c r="D116" t="s">
        <v>562</v>
      </c>
      <c r="E116" t="s">
        <v>563</v>
      </c>
      <c r="G116" s="5">
        <v>6</v>
      </c>
      <c r="H116" t="s">
        <v>21</v>
      </c>
      <c r="I116" s="5">
        <v>7</v>
      </c>
      <c r="J116" t="s">
        <v>21</v>
      </c>
      <c r="K116" s="5">
        <v>5</v>
      </c>
      <c r="L116" t="s">
        <v>40</v>
      </c>
      <c r="M116">
        <f t="shared" si="3"/>
        <v>18</v>
      </c>
      <c r="P116" t="s">
        <v>22</v>
      </c>
    </row>
    <row r="117" spans="1:16" x14ac:dyDescent="0.25">
      <c r="A117" t="s">
        <v>564</v>
      </c>
      <c r="B117" t="s">
        <v>565</v>
      </c>
      <c r="C117" t="s">
        <v>566</v>
      </c>
      <c r="D117">
        <v>2900271</v>
      </c>
      <c r="E117" t="s">
        <v>567</v>
      </c>
      <c r="G117" s="5">
        <v>2</v>
      </c>
      <c r="H117" s="3" t="s">
        <v>21</v>
      </c>
      <c r="I117" s="5">
        <v>7</v>
      </c>
      <c r="J117" t="s">
        <v>20</v>
      </c>
      <c r="K117" s="5">
        <v>3</v>
      </c>
      <c r="L117" t="s">
        <v>28</v>
      </c>
      <c r="M117">
        <f t="shared" si="3"/>
        <v>12</v>
      </c>
    </row>
    <row r="118" spans="1:16" x14ac:dyDescent="0.25">
      <c r="A118" t="s">
        <v>568</v>
      </c>
      <c r="B118" t="s">
        <v>569</v>
      </c>
      <c r="C118" t="s">
        <v>570</v>
      </c>
      <c r="D118" t="s">
        <v>571</v>
      </c>
      <c r="E118" t="s">
        <v>572</v>
      </c>
      <c r="G118" s="14">
        <v>3.5</v>
      </c>
      <c r="H118" s="15" t="s">
        <v>20</v>
      </c>
      <c r="I118" s="14">
        <v>3</v>
      </c>
      <c r="J118" s="15" t="s">
        <v>21</v>
      </c>
      <c r="K118" s="14"/>
      <c r="L118" s="47"/>
      <c r="M118">
        <f t="shared" si="3"/>
        <v>6.5</v>
      </c>
    </row>
    <row r="119" spans="1:16" x14ac:dyDescent="0.25">
      <c r="A119" t="s">
        <v>573</v>
      </c>
      <c r="B119" t="s">
        <v>574</v>
      </c>
      <c r="C119" t="s">
        <v>575</v>
      </c>
      <c r="D119" t="s">
        <v>576</v>
      </c>
      <c r="E119" t="s">
        <v>577</v>
      </c>
      <c r="G119" s="5">
        <v>3</v>
      </c>
      <c r="H119" t="s">
        <v>21</v>
      </c>
      <c r="I119" s="5">
        <v>7</v>
      </c>
      <c r="J119" t="s">
        <v>40</v>
      </c>
      <c r="K119" s="5">
        <v>1</v>
      </c>
      <c r="L119" t="s">
        <v>28</v>
      </c>
      <c r="M119">
        <f t="shared" si="3"/>
        <v>11</v>
      </c>
    </row>
    <row r="120" spans="1:16" x14ac:dyDescent="0.25">
      <c r="A120" t="s">
        <v>578</v>
      </c>
      <c r="B120" t="s">
        <v>579</v>
      </c>
      <c r="C120" t="s">
        <v>580</v>
      </c>
      <c r="D120" t="s">
        <v>581</v>
      </c>
      <c r="E120" t="s">
        <v>582</v>
      </c>
      <c r="G120" s="5">
        <v>3</v>
      </c>
      <c r="H120" t="s">
        <v>40</v>
      </c>
      <c r="I120" s="5">
        <v>5</v>
      </c>
      <c r="J120" t="s">
        <v>29</v>
      </c>
      <c r="K120" s="5">
        <v>2</v>
      </c>
      <c r="L120" s="3" t="s">
        <v>21</v>
      </c>
      <c r="M120">
        <f t="shared" si="3"/>
        <v>10</v>
      </c>
      <c r="P120" s="22" t="s">
        <v>583</v>
      </c>
    </row>
    <row r="121" spans="1:16" x14ac:dyDescent="0.25">
      <c r="A121" t="s">
        <v>584</v>
      </c>
      <c r="B121" t="s">
        <v>585</v>
      </c>
      <c r="C121" t="s">
        <v>586</v>
      </c>
      <c r="D121" t="s">
        <v>587</v>
      </c>
      <c r="E121" t="s">
        <v>588</v>
      </c>
      <c r="G121" s="5">
        <v>3</v>
      </c>
      <c r="H121" t="s">
        <v>29</v>
      </c>
      <c r="I121" s="5">
        <v>3</v>
      </c>
      <c r="J121" t="s">
        <v>20</v>
      </c>
      <c r="K121" s="5">
        <v>1</v>
      </c>
      <c r="L121" t="s">
        <v>28</v>
      </c>
      <c r="M121">
        <f t="shared" si="3"/>
        <v>7</v>
      </c>
    </row>
    <row r="122" spans="1:16" x14ac:dyDescent="0.25">
      <c r="A122" t="s">
        <v>589</v>
      </c>
      <c r="B122" t="s">
        <v>590</v>
      </c>
      <c r="C122" t="s">
        <v>591</v>
      </c>
      <c r="D122" t="s">
        <v>592</v>
      </c>
      <c r="E122" t="s">
        <v>593</v>
      </c>
      <c r="G122" s="5">
        <v>5</v>
      </c>
      <c r="H122" t="s">
        <v>21</v>
      </c>
      <c r="I122" s="5">
        <v>7</v>
      </c>
      <c r="J122" t="s">
        <v>28</v>
      </c>
      <c r="K122" s="5">
        <v>7</v>
      </c>
      <c r="L122" t="s">
        <v>21</v>
      </c>
      <c r="M122">
        <f t="shared" si="3"/>
        <v>19</v>
      </c>
    </row>
    <row r="123" spans="1:16" x14ac:dyDescent="0.25">
      <c r="A123" t="s">
        <v>594</v>
      </c>
      <c r="B123" t="s">
        <v>590</v>
      </c>
      <c r="C123" t="s">
        <v>595</v>
      </c>
      <c r="D123" t="s">
        <v>596</v>
      </c>
      <c r="E123" t="s">
        <v>597</v>
      </c>
      <c r="G123" s="5">
        <v>3</v>
      </c>
      <c r="H123" s="3" t="s">
        <v>21</v>
      </c>
      <c r="I123" s="5">
        <v>5</v>
      </c>
      <c r="J123" t="s">
        <v>28</v>
      </c>
      <c r="K123" s="5">
        <v>5</v>
      </c>
      <c r="L123" t="s">
        <v>40</v>
      </c>
      <c r="M123">
        <f t="shared" si="3"/>
        <v>13</v>
      </c>
    </row>
    <row r="124" spans="1:16" x14ac:dyDescent="0.25">
      <c r="A124" t="s">
        <v>338</v>
      </c>
      <c r="B124" t="s">
        <v>598</v>
      </c>
      <c r="C124" t="s">
        <v>599</v>
      </c>
      <c r="D124" t="s">
        <v>600</v>
      </c>
      <c r="E124" t="s">
        <v>601</v>
      </c>
      <c r="G124" s="5">
        <v>6</v>
      </c>
      <c r="H124" t="s">
        <v>28</v>
      </c>
      <c r="I124" s="5">
        <v>7</v>
      </c>
      <c r="J124" t="s">
        <v>28</v>
      </c>
      <c r="K124" s="5">
        <v>3</v>
      </c>
      <c r="L124" t="s">
        <v>28</v>
      </c>
      <c r="M124">
        <f t="shared" si="3"/>
        <v>16</v>
      </c>
    </row>
    <row r="125" spans="1:16" x14ac:dyDescent="0.25">
      <c r="A125" t="s">
        <v>602</v>
      </c>
      <c r="B125" t="s">
        <v>603</v>
      </c>
      <c r="C125" t="s">
        <v>604</v>
      </c>
      <c r="D125" t="s">
        <v>605</v>
      </c>
      <c r="E125" t="s">
        <v>606</v>
      </c>
      <c r="G125" s="8">
        <v>6</v>
      </c>
      <c r="H125" s="9" t="s">
        <v>21</v>
      </c>
      <c r="I125" s="8">
        <v>7</v>
      </c>
      <c r="J125" s="9" t="s">
        <v>21</v>
      </c>
      <c r="K125" s="8">
        <v>7</v>
      </c>
      <c r="L125" s="9" t="s">
        <v>21</v>
      </c>
      <c r="M125" s="29">
        <f t="shared" si="3"/>
        <v>20</v>
      </c>
      <c r="N125" s="11" t="s">
        <v>139</v>
      </c>
      <c r="O125" s="50"/>
    </row>
    <row r="126" spans="1:16" x14ac:dyDescent="0.25">
      <c r="A126" t="s">
        <v>607</v>
      </c>
      <c r="B126" t="s">
        <v>608</v>
      </c>
      <c r="C126" t="s">
        <v>609</v>
      </c>
      <c r="D126" t="s">
        <v>610</v>
      </c>
      <c r="E126" t="s">
        <v>611</v>
      </c>
      <c r="G126" s="5">
        <v>5</v>
      </c>
      <c r="H126" t="s">
        <v>21</v>
      </c>
      <c r="I126" s="5">
        <v>6</v>
      </c>
      <c r="J126" t="s">
        <v>21</v>
      </c>
      <c r="K126" s="5">
        <v>4</v>
      </c>
      <c r="L126" t="s">
        <v>21</v>
      </c>
      <c r="M126">
        <f t="shared" si="3"/>
        <v>15</v>
      </c>
    </row>
    <row r="127" spans="1:16" x14ac:dyDescent="0.25">
      <c r="A127" t="s">
        <v>612</v>
      </c>
      <c r="B127" t="s">
        <v>613</v>
      </c>
      <c r="C127" t="s">
        <v>614</v>
      </c>
      <c r="D127" t="s">
        <v>615</v>
      </c>
      <c r="E127" t="s">
        <v>616</v>
      </c>
      <c r="G127" s="5">
        <v>6</v>
      </c>
      <c r="H127" t="s">
        <v>40</v>
      </c>
      <c r="I127" s="5">
        <v>3</v>
      </c>
      <c r="J127" t="s">
        <v>28</v>
      </c>
      <c r="K127" s="5">
        <v>5</v>
      </c>
      <c r="L127" t="s">
        <v>21</v>
      </c>
      <c r="M127">
        <f t="shared" si="3"/>
        <v>14</v>
      </c>
    </row>
    <row r="128" spans="1:16" x14ac:dyDescent="0.25">
      <c r="A128" t="s">
        <v>617</v>
      </c>
      <c r="B128" t="s">
        <v>618</v>
      </c>
      <c r="C128" t="s">
        <v>619</v>
      </c>
      <c r="D128" t="s">
        <v>620</v>
      </c>
      <c r="E128" t="s">
        <v>621</v>
      </c>
      <c r="G128" s="5">
        <v>6</v>
      </c>
      <c r="H128" t="s">
        <v>28</v>
      </c>
      <c r="I128" s="5">
        <v>7</v>
      </c>
      <c r="J128" t="s">
        <v>40</v>
      </c>
      <c r="K128" s="5">
        <v>5</v>
      </c>
      <c r="L128" t="s">
        <v>28</v>
      </c>
      <c r="M128">
        <f t="shared" si="3"/>
        <v>18</v>
      </c>
    </row>
    <row r="129" spans="1:16" x14ac:dyDescent="0.25">
      <c r="A129" t="s">
        <v>607</v>
      </c>
      <c r="B129" t="s">
        <v>622</v>
      </c>
      <c r="C129" t="s">
        <v>623</v>
      </c>
      <c r="D129" t="s">
        <v>624</v>
      </c>
      <c r="E129" t="s">
        <v>625</v>
      </c>
      <c r="G129" s="5">
        <v>3</v>
      </c>
      <c r="H129" t="s">
        <v>21</v>
      </c>
      <c r="I129" s="5">
        <v>4</v>
      </c>
      <c r="J129" t="s">
        <v>29</v>
      </c>
      <c r="K129" s="5">
        <v>3</v>
      </c>
      <c r="L129" t="s">
        <v>28</v>
      </c>
      <c r="M129">
        <f t="shared" si="3"/>
        <v>10</v>
      </c>
    </row>
    <row r="130" spans="1:16" x14ac:dyDescent="0.25">
      <c r="A130" t="s">
        <v>626</v>
      </c>
      <c r="B130" t="s">
        <v>627</v>
      </c>
      <c r="C130" t="s">
        <v>628</v>
      </c>
      <c r="D130" t="s">
        <v>629</v>
      </c>
      <c r="E130" t="s">
        <v>630</v>
      </c>
      <c r="G130" s="5">
        <v>3.5</v>
      </c>
      <c r="H130" t="s">
        <v>40</v>
      </c>
      <c r="I130" s="5">
        <v>4.5</v>
      </c>
      <c r="J130" t="s">
        <v>28</v>
      </c>
      <c r="K130" s="5">
        <v>4.5</v>
      </c>
      <c r="L130" t="s">
        <v>40</v>
      </c>
      <c r="M130">
        <f t="shared" ref="M130:M138" si="4">G130+I130+K130</f>
        <v>12.5</v>
      </c>
    </row>
    <row r="131" spans="1:16" x14ac:dyDescent="0.25">
      <c r="A131" t="s">
        <v>631</v>
      </c>
      <c r="B131" t="s">
        <v>632</v>
      </c>
      <c r="C131" t="s">
        <v>633</v>
      </c>
      <c r="D131" t="s">
        <v>634</v>
      </c>
      <c r="E131" t="s">
        <v>635</v>
      </c>
      <c r="G131" s="5">
        <v>5</v>
      </c>
      <c r="H131" t="s">
        <v>28</v>
      </c>
      <c r="I131" s="5">
        <v>5</v>
      </c>
      <c r="J131" t="s">
        <v>40</v>
      </c>
      <c r="K131" s="5">
        <v>2</v>
      </c>
      <c r="L131" t="s">
        <v>40</v>
      </c>
      <c r="M131">
        <f t="shared" si="4"/>
        <v>12</v>
      </c>
    </row>
    <row r="132" spans="1:16" x14ac:dyDescent="0.25">
      <c r="A132" t="s">
        <v>636</v>
      </c>
      <c r="B132" t="s">
        <v>637</v>
      </c>
      <c r="C132" t="s">
        <v>638</v>
      </c>
      <c r="D132" t="s">
        <v>639</v>
      </c>
      <c r="E132" t="s">
        <v>640</v>
      </c>
      <c r="G132" s="45"/>
      <c r="H132" s="46"/>
      <c r="I132" s="45"/>
      <c r="J132" s="46"/>
      <c r="K132" s="45"/>
      <c r="L132" s="46"/>
      <c r="M132">
        <f t="shared" si="4"/>
        <v>0</v>
      </c>
    </row>
    <row r="133" spans="1:16" x14ac:dyDescent="0.25">
      <c r="A133" t="s">
        <v>641</v>
      </c>
      <c r="B133" t="s">
        <v>642</v>
      </c>
      <c r="C133" t="s">
        <v>643</v>
      </c>
      <c r="D133" t="s">
        <v>644</v>
      </c>
      <c r="E133" t="s">
        <v>645</v>
      </c>
      <c r="G133" s="5">
        <v>5</v>
      </c>
      <c r="H133" t="s">
        <v>29</v>
      </c>
      <c r="I133" s="5">
        <v>6</v>
      </c>
      <c r="J133" t="s">
        <v>20</v>
      </c>
      <c r="K133" s="5">
        <v>3.5</v>
      </c>
      <c r="L133" t="s">
        <v>40</v>
      </c>
      <c r="M133">
        <f t="shared" si="4"/>
        <v>14.5</v>
      </c>
    </row>
    <row r="134" spans="1:16" x14ac:dyDescent="0.25">
      <c r="A134" t="s">
        <v>646</v>
      </c>
      <c r="B134" t="s">
        <v>647</v>
      </c>
      <c r="C134" t="s">
        <v>648</v>
      </c>
      <c r="D134" t="s">
        <v>649</v>
      </c>
      <c r="E134" t="s">
        <v>650</v>
      </c>
      <c r="G134" s="5">
        <v>3</v>
      </c>
      <c r="H134" t="s">
        <v>29</v>
      </c>
      <c r="I134" s="5">
        <v>3</v>
      </c>
      <c r="J134" t="s">
        <v>40</v>
      </c>
      <c r="K134" s="5">
        <v>5</v>
      </c>
      <c r="L134" t="s">
        <v>21</v>
      </c>
      <c r="M134">
        <f t="shared" si="4"/>
        <v>11</v>
      </c>
      <c r="P134" t="s">
        <v>22</v>
      </c>
    </row>
    <row r="135" spans="1:16" x14ac:dyDescent="0.25">
      <c r="A135" t="s">
        <v>651</v>
      </c>
      <c r="B135" t="s">
        <v>652</v>
      </c>
      <c r="C135" t="s">
        <v>653</v>
      </c>
      <c r="D135" t="s">
        <v>654</v>
      </c>
      <c r="E135" t="s">
        <v>655</v>
      </c>
      <c r="G135" s="5">
        <v>2</v>
      </c>
      <c r="H135" t="s">
        <v>21</v>
      </c>
      <c r="I135" s="5">
        <v>4</v>
      </c>
      <c r="J135" t="s">
        <v>29</v>
      </c>
      <c r="K135" s="5">
        <v>4</v>
      </c>
      <c r="L135" t="s">
        <v>29</v>
      </c>
      <c r="M135">
        <f t="shared" si="4"/>
        <v>10</v>
      </c>
    </row>
    <row r="136" spans="1:16" x14ac:dyDescent="0.25">
      <c r="A136" t="s">
        <v>656</v>
      </c>
      <c r="B136" t="s">
        <v>657</v>
      </c>
      <c r="C136" t="s">
        <v>658</v>
      </c>
      <c r="D136" t="s">
        <v>659</v>
      </c>
      <c r="E136" t="s">
        <v>660</v>
      </c>
      <c r="G136" s="5">
        <v>4</v>
      </c>
      <c r="H136" t="s">
        <v>40</v>
      </c>
      <c r="I136" s="5">
        <v>4</v>
      </c>
      <c r="J136" t="s">
        <v>29</v>
      </c>
      <c r="K136" s="5">
        <v>4</v>
      </c>
      <c r="L136" t="s">
        <v>29</v>
      </c>
      <c r="M136">
        <f t="shared" si="4"/>
        <v>12</v>
      </c>
    </row>
    <row r="137" spans="1:16" x14ac:dyDescent="0.25">
      <c r="A137" t="s">
        <v>661</v>
      </c>
      <c r="B137" t="s">
        <v>657</v>
      </c>
      <c r="C137" t="s">
        <v>662</v>
      </c>
      <c r="D137" t="s">
        <v>663</v>
      </c>
      <c r="E137" t="s">
        <v>664</v>
      </c>
      <c r="G137" s="5">
        <v>3</v>
      </c>
      <c r="H137" t="s">
        <v>40</v>
      </c>
      <c r="I137" s="5">
        <v>2.5</v>
      </c>
      <c r="J137" t="s">
        <v>20</v>
      </c>
      <c r="K137" s="5">
        <v>3</v>
      </c>
      <c r="L137" t="s">
        <v>40</v>
      </c>
      <c r="M137">
        <f t="shared" si="4"/>
        <v>8.5</v>
      </c>
    </row>
    <row r="138" spans="1:16" x14ac:dyDescent="0.25">
      <c r="A138" t="s">
        <v>665</v>
      </c>
      <c r="B138" t="s">
        <v>666</v>
      </c>
      <c r="C138" t="s">
        <v>667</v>
      </c>
      <c r="D138" t="s">
        <v>668</v>
      </c>
      <c r="E138" t="s">
        <v>669</v>
      </c>
      <c r="G138" s="5">
        <v>2</v>
      </c>
      <c r="H138" t="s">
        <v>21</v>
      </c>
      <c r="I138" s="5">
        <v>6</v>
      </c>
      <c r="J138" t="s">
        <v>29</v>
      </c>
      <c r="K138" s="5">
        <v>4</v>
      </c>
      <c r="L138" t="s">
        <v>29</v>
      </c>
      <c r="M138">
        <f t="shared" si="4"/>
        <v>12</v>
      </c>
    </row>
    <row r="144" spans="1:16" x14ac:dyDescent="0.25">
      <c r="H144" s="5"/>
      <c r="J144" s="5"/>
    </row>
  </sheetData>
  <autoFilter ref="A1:L138" xr:uid="{00000000-0001-0000-0000-000000000000}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Khiem Nguyen</cp:lastModifiedBy>
  <cp:revision/>
  <dcterms:created xsi:type="dcterms:W3CDTF">2025-10-06T19:09:16Z</dcterms:created>
  <dcterms:modified xsi:type="dcterms:W3CDTF">2025-11-21T01:53:19Z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2025-10-06T19:02:58+01:00</dcterms:created>
  <dcterms:modified xsi:type="dcterms:W3CDTF">2025-10-06T19:02:58+01:00</dcterms:modified>
  <cp:revision>0</cp:revision>
</cp:coreProperties>
</file>